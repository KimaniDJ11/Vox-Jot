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500" firstSheet="0" activeTab="2" autoFilterDateGrouping="1"/>
  </bookViews>
  <sheets>
    <sheet name="Summary" sheetId="1" state="visible" r:id="rId1"/>
    <sheet name="STT Models" sheetId="2" state="visible" r:id="rId2"/>
    <sheet name="TTS Models" sheetId="3" state="visible" r:id="rId3"/>
    <sheet name="LLM Model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b val="1"/>
      <color rgb="FF0F3460"/>
      <sz val="9"/>
    </font>
    <font>
      <name val="Arial"/>
      <family val="2"/>
      <sz val="9"/>
    </font>
    <font>
      <name val="Arial"/>
      <family val="2"/>
      <b val="1"/>
      <color rgb="FF276221"/>
      <sz val="9"/>
    </font>
    <font>
      <name val="Arial"/>
      <family val="2"/>
      <color rgb="FF9C5700"/>
      <sz val="9"/>
    </font>
    <font>
      <name val="Arial"/>
      <family val="2"/>
      <i val="1"/>
      <color rgb="FF9C5700"/>
      <sz val="9"/>
    </font>
    <font>
      <name val="Calibri"/>
      <family val="2"/>
      <b val="1"/>
      <sz val="11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FF0F3460"/>
        <bgColor rgb="FF16213E"/>
      </patternFill>
    </fill>
    <fill>
      <patternFill patternType="solid">
        <fgColor rgb="FFFFFFFF"/>
        <bgColor rgb="FFEDF2FB"/>
      </patternFill>
    </fill>
    <fill>
      <patternFill patternType="solid">
        <fgColor rgb="FFEDF2FB"/>
        <bgColor rgb="FFFFFFFF"/>
      </patternFill>
    </fill>
    <fill>
      <patternFill patternType="solid">
        <fgColor rgb="FF16213E"/>
        <bgColor rgb="FF0F346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center" vertical="center"/>
    </xf>
    <xf numFmtId="9" fontId="4" fillId="3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1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0" pivotButton="0" quotePrefix="0" xfId="0"/>
    <xf numFmtId="0" fontId="13" fillId="0" borderId="0" pivotButton="0" quotePrefix="0" xfId="0"/>
    <xf numFmtId="0" fontId="12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F6460"/>
      <rgbColor rgb="FFBFBFBF"/>
      <rgbColor rgb="FF808080"/>
      <rgbColor rgb="FF9999FF"/>
      <rgbColor rgb="FF993366"/>
      <rgbColor rgb="FFFFFFCC"/>
      <rgbColor rgb="FFED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003300"/>
      <rgbColor rgb="FF333300"/>
      <rgbColor rgb="FF9C57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3460"/>
    <outlinePr summaryBelow="1" summaryRight="1"/>
    <pageSetUpPr/>
  </sheetPr>
  <dimension ref="A1:F21"/>
  <sheetViews>
    <sheetView showGridLines="0" zoomScale="117" zoomScaleNormal="100" workbookViewId="0">
      <selection activeCell="A1" sqref="A1:F1"/>
    </sheetView>
  </sheetViews>
  <sheetFormatPr baseColWidth="10" defaultColWidth="8.6640625" defaultRowHeight="15" customHeight="1"/>
  <cols>
    <col width="18" customWidth="1" min="1" max="1"/>
    <col width="10" customWidth="1" min="2" max="2"/>
    <col width="54" customWidth="1" min="3" max="3"/>
    <col width="22" customWidth="1" min="4" max="4"/>
    <col width="36" customWidth="1" min="5" max="5"/>
  </cols>
  <sheetData>
    <row r="1" ht="36" customHeight="1">
      <c r="A1" s="27" t="inlineStr">
        <is>
          <t>VOX JOT — Model Registry Overview</t>
        </is>
      </c>
      <c r="B1" s="28" t="n"/>
      <c r="C1" s="28" t="n"/>
      <c r="D1" s="28" t="n"/>
      <c r="E1" s="28" t="n"/>
      <c r="F1" s="28" t="n"/>
    </row>
    <row r="2" ht="30" customHeight="1">
      <c r="A2" s="1" t="inlineStr">
        <is>
          <t>Category</t>
        </is>
      </c>
      <c r="B2" s="1" t="inlineStr">
        <is>
          <t>Count</t>
        </is>
      </c>
      <c r="C2" s="1" t="inlineStr">
        <is>
          <t>Engines / Providers</t>
        </is>
      </c>
      <c r="D2" s="1" t="inlineStr">
        <is>
          <t>Voice Cloning Models</t>
        </is>
      </c>
      <c r="E2" s="1" t="inlineStr">
        <is>
          <t>Notes</t>
        </is>
      </c>
    </row>
    <row r="3" ht="36" customHeight="1">
      <c r="A3" s="2" t="inlineStr">
        <is>
          <t>STT Models</t>
        </is>
      </c>
      <c r="B3" s="3">
        <f>COUNTA('STT Models'!A3:A100)</f>
        <v/>
      </c>
      <c r="C3" s="4" t="inlineStr">
        <is>
          <t>Whisper (GGML), Parakeet, Moonshine, SenseVoice (ONNX), GigaAM (ONNX), QwenAudio, MLX Audio STT</t>
        </is>
      </c>
      <c r="D3" s="3">
        <f>IF(COUNTIF('STT Models'!J3:J100,"Yes")=0,"None",COUNTIF('STT Models'!J3:J100,"Yes")&amp;" models")</f>
        <v/>
      </c>
      <c r="E3" s="4">
        <f>B3&amp;" speech-to-text profiles (includes 1 Coming soon · Apple Silicon MLX lines where indicated)."</f>
        <v/>
      </c>
    </row>
    <row r="4" ht="36" customHeight="1">
      <c r="A4" s="5" t="inlineStr">
        <is>
          <t>TTS Models</t>
        </is>
      </c>
      <c r="B4" s="6">
        <f>COUNTA('TTS Models'!A3:A100)</f>
        <v/>
      </c>
      <c r="C4" s="7" t="inlineStr">
        <is>
          <t>Qwen3 Native, Sherpa-ONNX, Local Sidecar, MLX Audio, MLX TADA</t>
        </is>
      </c>
      <c r="D4" s="6">
        <f>IF(COUNTIF('TTS Models'!G3:G100,"Yes")=0,"None",COUNTIF('TTS Models'!G3:G100,"Yes")&amp;" models")</f>
        <v/>
      </c>
      <c r="E4" s="7">
        <f>B4&amp;" text-to-speech profiles (Sherpa-/sidecar/MLX; voice cloning ✓ counted in Voice Cloning column)."</f>
        <v/>
      </c>
    </row>
    <row r="5" ht="36" customHeight="1">
      <c r="A5" s="2" t="inlineStr">
        <is>
          <t>LLM Models</t>
        </is>
      </c>
      <c r="B5" s="3">
        <f>COUNTA('LLM Models'!A3:A100)</f>
        <v/>
      </c>
      <c r="C5" s="4" t="inlineStr">
        <is>
          <t>Ollama (local inference)</t>
        </is>
      </c>
      <c r="D5" s="3">
        <f>IF(COUNTIF('LLM Models'!H3:H100,"Yes")=0,"None",COUNTIF('LLM Models'!H3:H100,"Yes")&amp;" models")</f>
        <v/>
      </c>
      <c r="E5" s="4">
        <f>B5&amp;" locally recommended LLM presets (tiny/medium routing via Refine)."</f>
        <v/>
      </c>
    </row>
    <row r="6" ht="36" customHeight="1">
      <c r="A6" s="5" t="inlineStr">
        <is>
          <t>TOTAL</t>
        </is>
      </c>
      <c r="B6" s="8">
        <f>B3+B4+B5</f>
        <v/>
      </c>
      <c r="C6" s="9" t="inlineStr">
        <is>
          <t>—</t>
        </is>
      </c>
      <c r="D6" s="8">
        <f>IF(SUM(COUNTIF('STT Models'!J3:J100,"Yes"),COUNTIF('TTS Models'!G3:G100,"Yes"),COUNTIF('LLM Models'!H3:H100,"Yes"))=0,"None",SUM(COUNTIF('STT Models'!J3:J100,"Yes"),COUNTIF('TTS Models'!G3:G100,"Yes"),COUNTIF('LLM Models'!H3:H100,"Yes"))&amp;" models")</f>
        <v/>
      </c>
      <c r="E6" s="9" t="inlineStr">
        <is>
          <t>All model types combined</t>
        </is>
      </c>
    </row>
    <row r="8" ht="12" customHeight="1"/>
    <row r="9" ht="21.75" customHeight="1">
      <c r="A9" s="31" t="inlineStr">
        <is>
          <t>ENGINE / BACKEND LEGEND</t>
        </is>
      </c>
      <c r="B9" s="28" t="n"/>
      <c r="C9" s="28" t="n"/>
      <c r="D9" s="28" t="n"/>
      <c r="E9" s="32" t="n"/>
    </row>
    <row r="10" ht="21.75" customHeight="1">
      <c r="A10" s="10" t="inlineStr">
        <is>
          <t>Whisper (GGML)</t>
        </is>
      </c>
      <c r="B10" s="30" t="inlineStr">
        <is>
          <t>OpenAI's Whisper model running via GGML runtime. Supports 99 languages + translation.</t>
        </is>
      </c>
      <c r="C10" s="28" t="n"/>
      <c r="D10" s="28" t="n"/>
      <c r="E10" s="28" t="n"/>
    </row>
    <row r="11" ht="21.75" customHeight="1">
      <c r="A11" s="11" t="inlineStr">
        <is>
          <t>NVIDIA Parakeet</t>
        </is>
      </c>
      <c r="B11" s="29" t="inlineStr">
        <is>
          <t>NVIDIA NeMo Parakeet TDT model – fast streaming ASR. English + 25 European languages.</t>
        </is>
      </c>
      <c r="C11" s="28" t="n"/>
      <c r="D11" s="28" t="n"/>
      <c r="E11" s="28" t="n"/>
    </row>
    <row r="12" ht="21.75" customHeight="1">
      <c r="A12" s="10" t="inlineStr">
        <is>
          <t>Moonshine</t>
        </is>
      </c>
      <c r="B12" s="30" t="inlineStr">
        <is>
          <t>Useful.ai's Moonshine: lightweight English-only STT. Streaming variants available.</t>
        </is>
      </c>
      <c r="C12" s="28" t="n"/>
      <c r="D12" s="28" t="n"/>
      <c r="E12" s="28" t="n"/>
    </row>
    <row r="13" ht="21.75" customHeight="1">
      <c r="A13" s="11" t="inlineStr">
        <is>
          <t>SenseVoice (ONNX)</t>
        </is>
      </c>
      <c r="B13" s="29" t="inlineStr">
        <is>
          <t>FunAudioLLM SenseVoice – optimized for Asian languages (zh, ja, ko, en, yue). ONNX runtime.</t>
        </is>
      </c>
      <c r="C13" s="28" t="n"/>
      <c r="D13" s="28" t="n"/>
      <c r="E13" s="28" t="n"/>
    </row>
    <row r="14" ht="21.75" customHeight="1">
      <c r="A14" s="10" t="inlineStr">
        <is>
          <t>GigaAM (ONNX)</t>
        </is>
      </c>
      <c r="B14" s="30" t="inlineStr">
        <is>
          <t>Sber's GigaAM – Russian ASR specialist. E2E CTC architecture, ONNX runtime.</t>
        </is>
      </c>
      <c r="C14" s="28" t="n"/>
      <c r="D14" s="28" t="n"/>
      <c r="E14" s="28" t="n"/>
    </row>
    <row r="15" ht="21.75" customHeight="1">
      <c r="A15" s="11" t="inlineStr">
        <is>
          <t>QwenAudio</t>
        </is>
      </c>
      <c r="B15" s="29" t="inlineStr">
        <is>
          <t>Alibaba Qwen2 Audio multimodal model. Coming soon.</t>
        </is>
      </c>
      <c r="C15" s="28" t="n"/>
      <c r="D15" s="28" t="n"/>
      <c r="E15" s="28" t="n"/>
    </row>
    <row r="16" ht="21.75" customHeight="1">
      <c r="A16" s="10" t="inlineStr">
        <is>
          <t>Qwen3 Native</t>
        </is>
      </c>
      <c r="B16" s="30" t="inlineStr">
        <is>
          <t>Qwen3 built-in TTS with optional voice cloning (CustomVoice variants).</t>
        </is>
      </c>
      <c r="C16" s="28" t="n"/>
      <c r="D16" s="28" t="n"/>
      <c r="E16" s="28" t="n"/>
    </row>
    <row r="17" ht="21.75" customHeight="1">
      <c r="A17" s="11" t="inlineStr">
        <is>
          <t>Sherpa-ONNX</t>
        </is>
      </c>
      <c r="B17" s="29" t="inlineStr">
        <is>
          <t>k2-fsa Sherpa-ONNX lightweight offline TTS packs (preset voices, no cloning).</t>
        </is>
      </c>
      <c r="C17" s="28" t="n"/>
      <c r="D17" s="28" t="n"/>
      <c r="E17" s="28" t="n"/>
    </row>
    <row r="18" ht="21.75" customHeight="1">
      <c r="A18" s="10" t="inlineStr">
        <is>
          <t>Local Sidecar</t>
        </is>
      </c>
      <c r="B18" s="30" t="inlineStr">
        <is>
          <t>Separate sidecar process hosting advanced TTS models (Fish, XTTS, Chatterbox, Zonos, etc.).</t>
        </is>
      </c>
      <c r="C18" s="28" t="n"/>
      <c r="D18" s="28" t="n"/>
      <c r="E18" s="28" t="n"/>
    </row>
    <row r="19" ht="21.75" customHeight="1">
      <c r="A19" s="11" t="inlineStr">
        <is>
          <t>Ollama (local)</t>
        </is>
      </c>
      <c r="B19" s="29" t="inlineStr">
        <is>
          <t>All LLMs run locally via Ollama. No cloud dependency. Models range 0.2 GB – 2.5 GB.</t>
        </is>
      </c>
      <c r="C19" s="28" t="n"/>
      <c r="D19" s="28" t="n"/>
      <c r="E19" s="28" t="n"/>
    </row>
    <row r="21">
      <c r="A21" s="33" t="inlineStr">
        <is>
          <t>Last updated</t>
        </is>
      </c>
      <c r="B21" s="34" t="inlineStr">
        <is>
          <t>2026-04-27 — registry export; synced to src-tauri/src/managers/model.rs &amp; src-tauri/src/ollama.rs. Summary: COUNTA row counts &amp; Voice Cloning SUM/COUNTIF across STT/J, TTS/G, LLM/H.</t>
        </is>
      </c>
    </row>
  </sheetData>
  <mergeCells count="12">
    <mergeCell ref="B17:E17"/>
    <mergeCell ref="B18:E18"/>
    <mergeCell ref="B12:E12"/>
    <mergeCell ref="B13:E13"/>
    <mergeCell ref="A1:F1"/>
    <mergeCell ref="B16:E16"/>
    <mergeCell ref="B15:E15"/>
    <mergeCell ref="B11:E11"/>
    <mergeCell ref="B19:E19"/>
    <mergeCell ref="B10:E10"/>
    <mergeCell ref="A9:E9"/>
    <mergeCell ref="B14:E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E94560"/>
    <outlinePr summaryBelow="1" summaryRight="1"/>
    <pageSetUpPr/>
  </sheetPr>
  <dimension ref="A1:N28"/>
  <sheetViews>
    <sheetView showGridLines="0" topLeftCell="B1" zoomScale="118" zoomScaleNormal="100" workbookViewId="0">
      <pane ySplit="2" topLeftCell="A3" activePane="bottomLeft" state="frozen"/>
      <selection pane="bottomLeft" activeCell="A1" sqref="A1:K1"/>
    </sheetView>
  </sheetViews>
  <sheetFormatPr baseColWidth="10" defaultColWidth="8.6640625" defaultRowHeight="15" customHeight="1"/>
  <cols>
    <col width="22" customWidth="1" min="1" max="1"/>
    <col width="28" customWidth="1" min="2" max="2"/>
    <col width="22" customWidth="1" min="3" max="3"/>
    <col width="12" customWidth="1" min="4" max="4"/>
    <col width="22" customWidth="1" min="5" max="5"/>
    <col width="14" customWidth="1" min="6" max="6"/>
    <col width="12" customWidth="1" min="7" max="7"/>
    <col width="18" customWidth="1" min="8" max="8"/>
    <col width="14" customWidth="1" min="9" max="9"/>
    <col width="40" customWidth="1" min="10" max="10"/>
    <col width="21.1640625" customWidth="1" min="11" max="11"/>
  </cols>
  <sheetData>
    <row r="1" ht="30" customHeight="1">
      <c r="A1" s="38" t="inlineStr">
        <is>
          <t>VOX JOT — Speech-to-Text (STT) Model Registry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28" t="n"/>
    </row>
    <row r="2" ht="36" customHeight="1">
      <c r="A2" t="inlineStr">
        <is>
          <t>Works in Vox Jot</t>
        </is>
      </c>
      <c r="B2" t="inlineStr">
        <is>
          <t>Model Name</t>
        </is>
      </c>
      <c r="C2" s="1" t="inlineStr">
        <is>
          <t>Model ID</t>
        </is>
      </c>
      <c r="D2" s="1" t="inlineStr">
        <is>
          <t>Variant / Quantization</t>
        </is>
      </c>
      <c r="E2" s="1" t="inlineStr">
        <is>
          <t>Size (MB)</t>
        </is>
      </c>
      <c r="F2" s="1" t="inlineStr">
        <is>
          <t>Backend Engine</t>
        </is>
      </c>
      <c r="G2" s="1" t="inlineStr">
        <is>
          <t>Accuracy Score</t>
        </is>
      </c>
      <c r="H2" s="1" t="inlineStr">
        <is>
          <t>Speed Score</t>
        </is>
      </c>
      <c r="I2" s="1" t="inlineStr">
        <is>
          <t>Translation Support</t>
        </is>
      </c>
      <c r="J2" s="1" t="inlineStr">
        <is>
          <t>Voice Cloning</t>
        </is>
      </c>
      <c r="K2" s="1" t="inlineStr">
        <is>
          <t>Languages Supported</t>
        </is>
      </c>
      <c r="L2" s="1" t="inlineStr">
        <is>
          <t>Status</t>
        </is>
      </c>
      <c r="M2" s="26" t="inlineStr">
        <is>
          <t>Online Source</t>
        </is>
      </c>
      <c r="N2" t="inlineStr">
        <is>
          <t>Eval Score (Rubric)</t>
        </is>
      </c>
    </row>
    <row r="3" ht="18" customHeight="1">
      <c r="A3" t="inlineStr">
        <is>
          <t>🟢✅</t>
        </is>
      </c>
      <c r="B3" t="inlineStr">
        <is>
          <t>Whisper Small</t>
        </is>
      </c>
      <c r="C3" s="3" t="inlineStr">
        <is>
          <t>small</t>
        </is>
      </c>
      <c r="D3" s="3" t="inlineStr">
        <is>
          <t>Full precision</t>
        </is>
      </c>
      <c r="E3" s="12" t="n">
        <v>487</v>
      </c>
      <c r="F3" s="3" t="inlineStr">
        <is>
          <t>Whisper (GGML)</t>
        </is>
      </c>
      <c r="G3" s="13" t="n">
        <v>0.6</v>
      </c>
      <c r="H3" s="13" t="n">
        <v>0.85</v>
      </c>
      <c r="I3" s="14" t="inlineStr">
        <is>
          <t>Yes</t>
        </is>
      </c>
      <c r="J3" s="15" t="inlineStr">
        <is>
          <t>No</t>
        </is>
      </c>
      <c r="K3" s="4" t="inlineStr">
        <is>
          <t>99 languages (multilingual)</t>
        </is>
      </c>
      <c r="L3" s="16" t="inlineStr">
        <is>
          <t>Available</t>
        </is>
      </c>
      <c r="M3" t="inlineStr">
        <is>
          <t>https://huggingface.co/ggerganov/whisper.cpp</t>
        </is>
      </c>
    </row>
    <row r="4" ht="18" customHeight="1">
      <c r="A4" t="inlineStr">
        <is>
          <t>🟢✅</t>
        </is>
      </c>
      <c r="B4" t="inlineStr">
        <is>
          <t>Whisper Medium</t>
        </is>
      </c>
      <c r="C4" s="6" t="inlineStr">
        <is>
          <t>medium</t>
        </is>
      </c>
      <c r="D4" s="6" t="inlineStr">
        <is>
          <t>Full precision</t>
        </is>
      </c>
      <c r="E4" s="17" t="n">
        <v>1500</v>
      </c>
      <c r="F4" s="6" t="inlineStr">
        <is>
          <t>Whisper (GGML)</t>
        </is>
      </c>
      <c r="G4" s="18" t="n">
        <v>0.75</v>
      </c>
      <c r="H4" s="18" t="n">
        <v>0.6</v>
      </c>
      <c r="I4" s="14" t="inlineStr">
        <is>
          <t>Yes</t>
        </is>
      </c>
      <c r="J4" s="15" t="inlineStr">
        <is>
          <t>No</t>
        </is>
      </c>
      <c r="K4" s="7" t="inlineStr">
        <is>
          <t>99 languages (multilingual)</t>
        </is>
      </c>
      <c r="L4" s="19" t="inlineStr">
        <is>
          <t>Available</t>
        </is>
      </c>
      <c r="M4" t="inlineStr">
        <is>
          <t>https://huggingface.co/ggerganov/whisper.cpp</t>
        </is>
      </c>
    </row>
    <row r="5" ht="18" customHeight="1">
      <c r="A5" t="inlineStr">
        <is>
          <t>🟢✅</t>
        </is>
      </c>
      <c r="B5" t="inlineStr">
        <is>
          <t>Whisper Turbo</t>
        </is>
      </c>
      <c r="C5" s="3" t="inlineStr">
        <is>
          <t>turbo</t>
        </is>
      </c>
      <c r="D5" s="3" t="inlineStr">
        <is>
          <t>Full precision</t>
        </is>
      </c>
      <c r="E5" s="12" t="n">
        <v>1600</v>
      </c>
      <c r="F5" s="3" t="inlineStr">
        <is>
          <t>Whisper (GGML)</t>
        </is>
      </c>
      <c r="G5" s="13" t="n">
        <v>0.8</v>
      </c>
      <c r="H5" s="13" t="n">
        <v>0.4</v>
      </c>
      <c r="I5" s="15" t="inlineStr">
        <is>
          <t>No</t>
        </is>
      </c>
      <c r="J5" s="15" t="inlineStr">
        <is>
          <t>No</t>
        </is>
      </c>
      <c r="K5" s="4" t="inlineStr">
        <is>
          <t>99 languages (multilingual)</t>
        </is>
      </c>
      <c r="L5" s="16" t="inlineStr">
        <is>
          <t>Available</t>
        </is>
      </c>
      <c r="M5" t="inlineStr">
        <is>
          <t>https://huggingface.co/ggerganov/whisper.cpp</t>
        </is>
      </c>
    </row>
    <row r="6" ht="18" customHeight="1">
      <c r="A6" t="inlineStr">
        <is>
          <t>🟢✅</t>
        </is>
      </c>
      <c r="B6" t="inlineStr">
        <is>
          <t>Whisper Large</t>
        </is>
      </c>
      <c r="C6" s="6" t="inlineStr">
        <is>
          <t>large</t>
        </is>
      </c>
      <c r="D6" s="6" t="inlineStr">
        <is>
          <t>v3 Q5_0 quantized</t>
        </is>
      </c>
      <c r="E6" s="17" t="n">
        <v>1100</v>
      </c>
      <c r="F6" s="6" t="inlineStr">
        <is>
          <t>Whisper (GGML)</t>
        </is>
      </c>
      <c r="G6" s="18" t="n">
        <v>0.85</v>
      </c>
      <c r="H6" s="18" t="n">
        <v>0.3</v>
      </c>
      <c r="I6" s="14" t="inlineStr">
        <is>
          <t>Yes</t>
        </is>
      </c>
      <c r="J6" s="15" t="inlineStr">
        <is>
          <t>No</t>
        </is>
      </c>
      <c r="K6" s="7" t="inlineStr">
        <is>
          <t>99 languages (multilingual)</t>
        </is>
      </c>
      <c r="L6" s="19" t="inlineStr">
        <is>
          <t>Available</t>
        </is>
      </c>
      <c r="M6" t="inlineStr">
        <is>
          <t>https://huggingface.co/ggerganov/whisper.cpp</t>
        </is>
      </c>
    </row>
    <row r="7" ht="18" customHeight="1">
      <c r="A7" t="inlineStr">
        <is>
          <t>🟢✅</t>
        </is>
      </c>
      <c r="B7" t="inlineStr">
        <is>
          <t>Breeze ASR</t>
        </is>
      </c>
      <c r="C7" s="3" t="inlineStr">
        <is>
          <t>breeze-asr</t>
        </is>
      </c>
      <c r="D7" s="3" t="inlineStr">
        <is>
          <t>Q5_K quantized</t>
        </is>
      </c>
      <c r="E7" s="12" t="n">
        <v>1080</v>
      </c>
      <c r="F7" s="3" t="inlineStr">
        <is>
          <t>Whisper (GGML)</t>
        </is>
      </c>
      <c r="G7" s="13" t="n">
        <v>0.85</v>
      </c>
      <c r="H7" s="13" t="n">
        <v>0.35</v>
      </c>
      <c r="I7" s="15" t="inlineStr">
        <is>
          <t>No</t>
        </is>
      </c>
      <c r="J7" s="15" t="inlineStr">
        <is>
          <t>No</t>
        </is>
      </c>
      <c r="K7" s="4" t="inlineStr">
        <is>
          <t>Taiwanese Mandarin + code-switching</t>
        </is>
      </c>
      <c r="L7" s="16" t="inlineStr">
        <is>
          <t>Available</t>
        </is>
      </c>
      <c r="M7" t="inlineStr">
        <is>
          <t>https://huggingface.co/MediaTek-Research/Breeze-ASR-25</t>
        </is>
      </c>
    </row>
    <row r="8" ht="18" customHeight="1">
      <c r="A8" t="inlineStr">
        <is>
          <t>🟢✅</t>
        </is>
      </c>
      <c r="B8" t="inlineStr">
        <is>
          <t>Parakeet V2</t>
        </is>
      </c>
      <c r="C8" s="6" t="inlineStr">
        <is>
          <t>parakeet-tdt-0.6b-v2</t>
        </is>
      </c>
      <c r="D8" s="6" t="inlineStr">
        <is>
          <t>0.6B INT8 quantized</t>
        </is>
      </c>
      <c r="E8" s="17" t="n">
        <v>473</v>
      </c>
      <c r="F8" s="6" t="inlineStr">
        <is>
          <t>NVIDIA Parakeet</t>
        </is>
      </c>
      <c r="G8" s="18" t="n">
        <v>0.85</v>
      </c>
      <c r="H8" s="18" t="n">
        <v>0.85</v>
      </c>
      <c r="I8" s="15" t="inlineStr">
        <is>
          <t>No</t>
        </is>
      </c>
      <c r="J8" s="15" t="inlineStr">
        <is>
          <t>No</t>
        </is>
      </c>
      <c r="K8" s="7" t="inlineStr">
        <is>
          <t>English (en)</t>
        </is>
      </c>
      <c r="L8" s="19" t="inlineStr">
        <is>
          <t>Available</t>
        </is>
      </c>
      <c r="M8" t="inlineStr">
        <is>
          <t>https://huggingface.co/nvidia/parakeet-tdt-0.6b-v2</t>
        </is>
      </c>
    </row>
    <row r="9" ht="18" customHeight="1">
      <c r="A9" t="inlineStr">
        <is>
          <t>🟢✅</t>
        </is>
      </c>
      <c r="B9" t="inlineStr">
        <is>
          <t>Parakeet V3</t>
        </is>
      </c>
      <c r="C9" s="3" t="inlineStr">
        <is>
          <t>parakeet-tdt-0.6b-v3</t>
        </is>
      </c>
      <c r="D9" s="3" t="inlineStr">
        <is>
          <t>0.6B INT8 quantized</t>
        </is>
      </c>
      <c r="E9" s="12" t="n">
        <v>478</v>
      </c>
      <c r="F9" s="3" t="inlineStr">
        <is>
          <t>NVIDIA Parakeet</t>
        </is>
      </c>
      <c r="G9" s="13" t="n">
        <v>0.8</v>
      </c>
      <c r="H9" s="13" t="n">
        <v>0.85</v>
      </c>
      <c r="I9" s="15" t="inlineStr">
        <is>
          <t>No</t>
        </is>
      </c>
      <c r="J9" s="15" t="inlineStr">
        <is>
          <t>No</t>
        </is>
      </c>
      <c r="K9" s="4" t="inlineStr">
        <is>
          <t>25 European languages (bg, hr, cs, da, nl, en, et, fi, fr, de, el, hu, it, lv, lt, mt, pl, pt, ro, sk, sl, es, sv, ru, uk)</t>
        </is>
      </c>
      <c r="L9" s="14" t="inlineStr">
        <is>
          <t>Available ★ Recommended</t>
        </is>
      </c>
      <c r="M9" t="inlineStr">
        <is>
          <t>https://huggingface.co/nvidia/parakeet-tdt-0.6b-v3</t>
        </is>
      </c>
    </row>
    <row r="10" ht="18" customHeight="1">
      <c r="A10" t="inlineStr">
        <is>
          <t>🟢✅</t>
        </is>
      </c>
      <c r="B10" t="inlineStr">
        <is>
          <t>Moonshine Base</t>
        </is>
      </c>
      <c r="C10" s="6" t="inlineStr">
        <is>
          <t>moonshine-base</t>
        </is>
      </c>
      <c r="D10" s="6" t="inlineStr">
        <is>
          <t>Full precision</t>
        </is>
      </c>
      <c r="E10" s="17" t="n">
        <v>58</v>
      </c>
      <c r="F10" s="6" t="inlineStr">
        <is>
          <t>Moonshine</t>
        </is>
      </c>
      <c r="G10" s="18" t="n">
        <v>0.7</v>
      </c>
      <c r="H10" s="18" t="n">
        <v>0.9</v>
      </c>
      <c r="I10" s="15" t="inlineStr">
        <is>
          <t>No</t>
        </is>
      </c>
      <c r="J10" s="15" t="inlineStr">
        <is>
          <t>No</t>
        </is>
      </c>
      <c r="K10" s="7" t="inlineStr">
        <is>
          <t>English (en)</t>
        </is>
      </c>
      <c r="L10" s="19" t="inlineStr">
        <is>
          <t>Available</t>
        </is>
      </c>
      <c r="M10" t="inlineStr">
        <is>
          <t>https://huggingface.co/UsefulSensors/moonshine-base</t>
        </is>
      </c>
    </row>
    <row r="11" ht="18" customHeight="1">
      <c r="A11" t="inlineStr">
        <is>
          <t>🟢✅</t>
        </is>
      </c>
      <c r="B11" t="inlineStr">
        <is>
          <t>Moonshine V2 Tiny</t>
        </is>
      </c>
      <c r="C11" s="3" t="inlineStr">
        <is>
          <t>moonshine-tiny-streaming-en</t>
        </is>
      </c>
      <c r="D11" s="3" t="inlineStr">
        <is>
          <t>Tiny Streaming</t>
        </is>
      </c>
      <c r="E11" s="12" t="n">
        <v>31</v>
      </c>
      <c r="F11" s="3" t="inlineStr">
        <is>
          <t>Moonshine Streaming</t>
        </is>
      </c>
      <c r="G11" s="13" t="n">
        <v>0.55</v>
      </c>
      <c r="H11" s="13" t="n">
        <v>0.95</v>
      </c>
      <c r="I11" s="15" t="inlineStr">
        <is>
          <t>No</t>
        </is>
      </c>
      <c r="J11" s="15" t="inlineStr">
        <is>
          <t>No</t>
        </is>
      </c>
      <c r="K11" s="4" t="inlineStr">
        <is>
          <t>English (en)</t>
        </is>
      </c>
      <c r="L11" s="16" t="inlineStr">
        <is>
          <t>Available</t>
        </is>
      </c>
      <c r="M11" t="inlineStr">
        <is>
          <t>https://huggingface.co/UsefulSensors/moonshine-base</t>
        </is>
      </c>
    </row>
    <row r="12" ht="18" customHeight="1">
      <c r="A12" t="inlineStr">
        <is>
          <t>🟢✅</t>
        </is>
      </c>
      <c r="B12" t="inlineStr">
        <is>
          <t>Moonshine V2 Small</t>
        </is>
      </c>
      <c r="C12" s="6" t="inlineStr">
        <is>
          <t>moonshine-small-streaming-en</t>
        </is>
      </c>
      <c r="D12" s="6" t="inlineStr">
        <is>
          <t>Small Streaming</t>
        </is>
      </c>
      <c r="E12" s="17" t="n">
        <v>100</v>
      </c>
      <c r="F12" s="6" t="inlineStr">
        <is>
          <t>Moonshine Streaming</t>
        </is>
      </c>
      <c r="G12" s="18" t="n">
        <v>0.65</v>
      </c>
      <c r="H12" s="18" t="n">
        <v>0.9</v>
      </c>
      <c r="I12" s="15" t="inlineStr">
        <is>
          <t>No</t>
        </is>
      </c>
      <c r="J12" s="15" t="inlineStr">
        <is>
          <t>No</t>
        </is>
      </c>
      <c r="K12" s="7" t="inlineStr">
        <is>
          <t>English (en)</t>
        </is>
      </c>
      <c r="L12" s="19" t="inlineStr">
        <is>
          <t>Available</t>
        </is>
      </c>
      <c r="M12" t="inlineStr">
        <is>
          <t>https://huggingface.co/UsefulSensors/moonshine-base</t>
        </is>
      </c>
    </row>
    <row r="13" ht="18" customHeight="1">
      <c r="A13" t="inlineStr">
        <is>
          <t>🟢✅</t>
        </is>
      </c>
      <c r="B13" t="inlineStr">
        <is>
          <t>Moonshine V2 Medium</t>
        </is>
      </c>
      <c r="C13" s="3" t="inlineStr">
        <is>
          <t>moonshine-medium-streaming-en</t>
        </is>
      </c>
      <c r="D13" s="3" t="inlineStr">
        <is>
          <t>Medium Streaming</t>
        </is>
      </c>
      <c r="E13" s="12" t="n">
        <v>192</v>
      </c>
      <c r="F13" s="3" t="inlineStr">
        <is>
          <t>Moonshine Streaming</t>
        </is>
      </c>
      <c r="G13" s="13" t="n">
        <v>0.75</v>
      </c>
      <c r="H13" s="13" t="n">
        <v>0.8</v>
      </c>
      <c r="I13" s="15" t="inlineStr">
        <is>
          <t>No</t>
        </is>
      </c>
      <c r="J13" s="15" t="inlineStr">
        <is>
          <t>No</t>
        </is>
      </c>
      <c r="K13" s="4" t="inlineStr">
        <is>
          <t>English (en)</t>
        </is>
      </c>
      <c r="L13" s="16" t="inlineStr">
        <is>
          <t>Available</t>
        </is>
      </c>
      <c r="M13" t="inlineStr">
        <is>
          <t>https://huggingface.co/UsefulSensors/moonshine-base</t>
        </is>
      </c>
    </row>
    <row r="14" ht="18" customHeight="1">
      <c r="A14" t="inlineStr">
        <is>
          <t>🟢✅</t>
        </is>
      </c>
      <c r="B14" t="inlineStr">
        <is>
          <t>SenseVoice</t>
        </is>
      </c>
      <c r="C14" s="6" t="inlineStr">
        <is>
          <t>sense-voice-int8</t>
        </is>
      </c>
      <c r="D14" s="6" t="inlineStr">
        <is>
          <t>INT8 quantized</t>
        </is>
      </c>
      <c r="E14" s="17" t="n">
        <v>160</v>
      </c>
      <c r="F14" s="6" t="inlineStr">
        <is>
          <t>SenseVoice (ONNX)</t>
        </is>
      </c>
      <c r="G14" s="18" t="n">
        <v>0.65</v>
      </c>
      <c r="H14" s="18" t="n">
        <v>0.95</v>
      </c>
      <c r="I14" s="15" t="inlineStr">
        <is>
          <t>No</t>
        </is>
      </c>
      <c r="J14" s="15" t="inlineStr">
        <is>
          <t>No</t>
        </is>
      </c>
      <c r="K14" s="7" t="inlineStr">
        <is>
          <t>zh, zh-Hans, zh-Hant, en, yue (Cantonese), ja, ko</t>
        </is>
      </c>
      <c r="L14" s="19" t="inlineStr">
        <is>
          <t>Available</t>
        </is>
      </c>
      <c r="M14" t="inlineStr">
        <is>
          <t>https://huggingface.co/FunAudioLLM/SenseVoiceSmall</t>
        </is>
      </c>
    </row>
    <row r="15" ht="18" customHeight="1">
      <c r="A15" t="inlineStr">
        <is>
          <t>🟢✅</t>
        </is>
      </c>
      <c r="B15" t="inlineStr">
        <is>
          <t>GigaAM v3</t>
        </is>
      </c>
      <c r="C15" s="3" t="inlineStr">
        <is>
          <t>gigaam-v3-e2e-ctc</t>
        </is>
      </c>
      <c r="D15" s="3" t="inlineStr">
        <is>
          <t>v3 E2E CTC INT8 (ONNX)</t>
        </is>
      </c>
      <c r="E15" s="12" t="n">
        <v>225</v>
      </c>
      <c r="F15" s="3" t="inlineStr">
        <is>
          <t>GigaAM (ONNX)</t>
        </is>
      </c>
      <c r="G15" s="13" t="n">
        <v>0.85</v>
      </c>
      <c r="H15" s="13" t="n">
        <v>0.75</v>
      </c>
      <c r="I15" s="15" t="inlineStr">
        <is>
          <t>No</t>
        </is>
      </c>
      <c r="J15" s="15" t="inlineStr">
        <is>
          <t>No</t>
        </is>
      </c>
      <c r="K15" s="4" t="inlineStr">
        <is>
          <t>Russian (ru)</t>
        </is>
      </c>
      <c r="L15" s="16" t="inlineStr">
        <is>
          <t>Available</t>
        </is>
      </c>
      <c r="M15" t="inlineStr">
        <is>
          <t>https://huggingface.co/ai-sage/GigaAM-v3</t>
        </is>
      </c>
    </row>
    <row r="16" ht="18" customHeight="1">
      <c r="A16" t="inlineStr">
        <is>
          <t>🟡</t>
        </is>
      </c>
      <c r="B16" t="inlineStr">
        <is>
          <t>Qwen2 Audio 7B</t>
        </is>
      </c>
      <c r="C16" s="6" t="inlineStr">
        <is>
          <t>qwen2-audio-7b</t>
        </is>
      </c>
      <c r="D16" s="6" t="inlineStr">
        <is>
          <t>7B (placeholder)</t>
        </is>
      </c>
      <c r="E16" s="17" t="n">
        <v>14000</v>
      </c>
      <c r="F16" s="6" t="inlineStr">
        <is>
          <t>QwenAudio</t>
        </is>
      </c>
      <c r="G16" s="18" t="n">
        <v>0.95</v>
      </c>
      <c r="H16" s="18" t="n">
        <v>0.2</v>
      </c>
      <c r="I16" s="14" t="inlineStr">
        <is>
          <t>Yes</t>
        </is>
      </c>
      <c r="J16" s="15" t="inlineStr">
        <is>
          <t>No</t>
        </is>
      </c>
      <c r="K16" s="7" t="inlineStr">
        <is>
          <t>English (en), Chinese (zh)</t>
        </is>
      </c>
      <c r="L16" s="20" t="inlineStr">
        <is>
          <t>Coming Soon</t>
        </is>
      </c>
      <c r="M16" t="inlineStr">
        <is>
          <t>https://huggingface.co/Qwen/Qwen2-Audio-7B</t>
        </is>
      </c>
    </row>
    <row r="17">
      <c r="A17" t="inlineStr">
        <is>
          <t>🟢✅</t>
        </is>
      </c>
      <c r="B17" t="inlineStr">
        <is>
          <t>Whisper Tiny</t>
        </is>
      </c>
      <c r="C17" s="3" t="inlineStr">
        <is>
          <t>tiny</t>
        </is>
      </c>
      <c r="D17" s="3" t="inlineStr">
        <is>
          <t>Full precision</t>
        </is>
      </c>
      <c r="E17" s="12" t="n">
        <v>75</v>
      </c>
      <c r="F17" s="3" t="inlineStr">
        <is>
          <t>Whisper (GGML)</t>
        </is>
      </c>
      <c r="G17" s="13" t="n">
        <v>0.45</v>
      </c>
      <c r="H17" s="13" t="n">
        <v>0.98</v>
      </c>
      <c r="I17" s="35" t="inlineStr">
        <is>
          <t>Yes</t>
        </is>
      </c>
      <c r="J17" s="36" t="inlineStr">
        <is>
          <t>No</t>
        </is>
      </c>
      <c r="K17" s="4" t="inlineStr">
        <is>
          <t>99 languages (multilingual)</t>
        </is>
      </c>
      <c r="L17" s="16" t="inlineStr">
        <is>
          <t>Available</t>
        </is>
      </c>
      <c r="M17" t="inlineStr">
        <is>
          <t>https://huggingface.co/ggerganov/whisper.cpp</t>
        </is>
      </c>
    </row>
    <row r="18">
      <c r="A18" t="inlineStr">
        <is>
          <t>🟢✅</t>
        </is>
      </c>
      <c r="B18" t="inlineStr">
        <is>
          <t>Whisper Tiny (English)</t>
        </is>
      </c>
      <c r="C18" s="3" t="inlineStr">
        <is>
          <t>tiny.en</t>
        </is>
      </c>
      <c r="D18" s="3" t="inlineStr">
        <is>
          <t>Full precision (English-only)</t>
        </is>
      </c>
      <c r="E18" s="12" t="n">
        <v>75</v>
      </c>
      <c r="F18" s="3" t="inlineStr">
        <is>
          <t>Whisper (GGML)</t>
        </is>
      </c>
      <c r="G18" s="13" t="n">
        <v>0.47</v>
      </c>
      <c r="H18" s="13" t="n">
        <v>0.99</v>
      </c>
      <c r="I18" s="37" t="inlineStr">
        <is>
          <t>No</t>
        </is>
      </c>
      <c r="J18" s="36" t="inlineStr">
        <is>
          <t>No</t>
        </is>
      </c>
      <c r="K18" s="4" t="inlineStr">
        <is>
          <t>English (en)</t>
        </is>
      </c>
      <c r="L18" s="16" t="inlineStr">
        <is>
          <t>Available</t>
        </is>
      </c>
      <c r="M18" t="inlineStr">
        <is>
          <t>https://huggingface.co/ggerganov/whisper.cpp</t>
        </is>
      </c>
    </row>
    <row r="19">
      <c r="A19" t="inlineStr">
        <is>
          <t>🟢✅</t>
        </is>
      </c>
      <c r="B19" t="inlineStr">
        <is>
          <t>Whisper Base</t>
        </is>
      </c>
      <c r="C19" s="3" t="inlineStr">
        <is>
          <t>base</t>
        </is>
      </c>
      <c r="D19" s="3" t="inlineStr">
        <is>
          <t>Full precision</t>
        </is>
      </c>
      <c r="E19" s="12" t="n">
        <v>142</v>
      </c>
      <c r="F19" s="3" t="inlineStr">
        <is>
          <t>Whisper (GGML)</t>
        </is>
      </c>
      <c r="G19" s="13" t="n">
        <v>0.52</v>
      </c>
      <c r="H19" s="13" t="n">
        <v>0.9399999999999999</v>
      </c>
      <c r="I19" s="35" t="inlineStr">
        <is>
          <t>Yes</t>
        </is>
      </c>
      <c r="J19" s="36" t="inlineStr">
        <is>
          <t>No</t>
        </is>
      </c>
      <c r="K19" s="4" t="inlineStr">
        <is>
          <t>99 languages (multilingual)</t>
        </is>
      </c>
      <c r="L19" s="16" t="inlineStr">
        <is>
          <t>Available</t>
        </is>
      </c>
      <c r="M19" t="inlineStr">
        <is>
          <t>https://huggingface.co/ggerganov/whisper.cpp</t>
        </is>
      </c>
    </row>
    <row r="20">
      <c r="A20" t="inlineStr">
        <is>
          <t>🟢✅</t>
        </is>
      </c>
      <c r="B20" t="inlineStr">
        <is>
          <t>Whisper Base (English)</t>
        </is>
      </c>
      <c r="C20" s="3" t="inlineStr">
        <is>
          <t>base.en</t>
        </is>
      </c>
      <c r="D20" s="3" t="inlineStr">
        <is>
          <t>Full precision (English-only)</t>
        </is>
      </c>
      <c r="E20" s="12" t="n">
        <v>142</v>
      </c>
      <c r="F20" s="3" t="inlineStr">
        <is>
          <t>Whisper (GGML)</t>
        </is>
      </c>
      <c r="G20" s="13" t="n">
        <v>0.55</v>
      </c>
      <c r="H20" s="13" t="n">
        <v>0.95</v>
      </c>
      <c r="I20" s="37" t="inlineStr">
        <is>
          <t>No</t>
        </is>
      </c>
      <c r="J20" s="36" t="inlineStr">
        <is>
          <t>No</t>
        </is>
      </c>
      <c r="K20" s="4" t="inlineStr">
        <is>
          <t>English (en)</t>
        </is>
      </c>
      <c r="L20" s="16" t="inlineStr">
        <is>
          <t>Available</t>
        </is>
      </c>
      <c r="M20" t="inlineStr">
        <is>
          <t>https://huggingface.co/ggerganov/whisper.cpp</t>
        </is>
      </c>
    </row>
    <row r="21">
      <c r="A21" t="inlineStr">
        <is>
          <t>🟢✅</t>
        </is>
      </c>
      <c r="B21" t="inlineStr">
        <is>
          <t>Whisper Small (English)</t>
        </is>
      </c>
      <c r="C21" s="3" t="inlineStr">
        <is>
          <t>small.en</t>
        </is>
      </c>
      <c r="D21" s="3" t="inlineStr">
        <is>
          <t>Full precision (English-only)</t>
        </is>
      </c>
      <c r="E21" s="12" t="n">
        <v>487</v>
      </c>
      <c r="F21" s="3" t="inlineStr">
        <is>
          <t>Whisper (GGML)</t>
        </is>
      </c>
      <c r="G21" s="13" t="n">
        <v>0.64</v>
      </c>
      <c r="H21" s="13" t="n">
        <v>0.86</v>
      </c>
      <c r="I21" s="37" t="inlineStr">
        <is>
          <t>No</t>
        </is>
      </c>
      <c r="J21" s="36" t="inlineStr">
        <is>
          <t>No</t>
        </is>
      </c>
      <c r="K21" s="4" t="inlineStr">
        <is>
          <t>English (en)</t>
        </is>
      </c>
      <c r="L21" s="16" t="inlineStr">
        <is>
          <t>Available</t>
        </is>
      </c>
      <c r="M21" t="inlineStr">
        <is>
          <t>https://huggingface.co/ggerganov/whisper.cpp</t>
        </is>
      </c>
    </row>
    <row r="22">
      <c r="A22" t="inlineStr">
        <is>
          <t>🟢✅</t>
        </is>
      </c>
      <c r="B22" t="inlineStr">
        <is>
          <t>Whisper Medium (English)</t>
        </is>
      </c>
      <c r="C22" s="3" t="inlineStr">
        <is>
          <t>medium.en</t>
        </is>
      </c>
      <c r="D22" s="3" t="inlineStr">
        <is>
          <t>Full precision (English-only)</t>
        </is>
      </c>
      <c r="E22" s="12" t="n">
        <v>1500</v>
      </c>
      <c r="F22" s="3" t="inlineStr">
        <is>
          <t>Whisper (GGML)</t>
        </is>
      </c>
      <c r="G22" s="13" t="n">
        <v>0.78</v>
      </c>
      <c r="H22" s="13" t="n">
        <v>0.62</v>
      </c>
      <c r="I22" s="37" t="inlineStr">
        <is>
          <t>No</t>
        </is>
      </c>
      <c r="J22" s="36" t="inlineStr">
        <is>
          <t>No</t>
        </is>
      </c>
      <c r="K22" s="4" t="inlineStr">
        <is>
          <t>English (en)</t>
        </is>
      </c>
      <c r="L22" s="16" t="inlineStr">
        <is>
          <t>Available</t>
        </is>
      </c>
      <c r="M22" t="inlineStr">
        <is>
          <t>https://huggingface.co/ggerganov/whisper.cpp</t>
        </is>
      </c>
    </row>
    <row r="23">
      <c r="A23" t="inlineStr">
        <is>
          <t>🟢✅</t>
        </is>
      </c>
      <c r="B23" t="inlineStr">
        <is>
          <t>Whisper Large V3 Turbo (MLX)</t>
        </is>
      </c>
      <c r="C23" s="3" t="inlineStr">
        <is>
          <t>mlx-whisper-large-v3-turbo</t>
        </is>
      </c>
      <c r="D23" s="3" t="inlineStr">
        <is>
          <t>MLX / mlx-audio sidecar</t>
        </is>
      </c>
      <c r="E23" s="12" t="n"/>
      <c r="F23" s="3" t="inlineStr">
        <is>
          <t>MLX Audio STT</t>
        </is>
      </c>
      <c r="G23" s="13" t="n">
        <v>0.9</v>
      </c>
      <c r="H23" s="13" t="n">
        <v>0.8</v>
      </c>
      <c r="I23" s="37" t="inlineStr">
        <is>
          <t>No</t>
        </is>
      </c>
      <c r="J23" s="36" t="inlineStr">
        <is>
          <t>No</t>
        </is>
      </c>
      <c r="K23" s="4" t="inlineStr">
        <is>
          <t>99 languages (multilingual)</t>
        </is>
      </c>
      <c r="L23" s="16" t="inlineStr">
        <is>
          <t>Available ★ Recommended (Apple Silicon)</t>
        </is>
      </c>
      <c r="M23" t="inlineStr">
        <is>
          <t>https://huggingface.co/mlx-community/whisper-large-v3-turbo</t>
        </is>
      </c>
    </row>
    <row r="24">
      <c r="A24" t="inlineStr">
        <is>
          <t>🟢✅</t>
        </is>
      </c>
      <c r="B24" t="inlineStr">
        <is>
          <t>Distil-Whisper Large V3 (MLX)</t>
        </is>
      </c>
      <c r="C24" s="3" t="inlineStr">
        <is>
          <t>mlx-distil-whisper-large-v3</t>
        </is>
      </c>
      <c r="D24" s="3" t="inlineStr">
        <is>
          <t>MLX / mlx-audio sidecar</t>
        </is>
      </c>
      <c r="E24" s="12" t="n"/>
      <c r="F24" s="3" t="inlineStr">
        <is>
          <t>MLX Audio STT</t>
        </is>
      </c>
      <c r="G24" s="13" t="n">
        <v>0.84</v>
      </c>
      <c r="H24" s="13" t="n">
        <v>0.92</v>
      </c>
      <c r="I24" s="37" t="inlineStr">
        <is>
          <t>No</t>
        </is>
      </c>
      <c r="J24" s="36" t="inlineStr">
        <is>
          <t>No</t>
        </is>
      </c>
      <c r="K24" s="4" t="inlineStr">
        <is>
          <t>English (en)</t>
        </is>
      </c>
      <c r="L24" s="16" t="inlineStr">
        <is>
          <t>Available (Apple Silicon)</t>
        </is>
      </c>
      <c r="M24" t="inlineStr">
        <is>
          <t>https://huggingface.co/mlx-community/distil-whisper-large-v3</t>
        </is>
      </c>
    </row>
    <row r="25">
      <c r="A25" t="inlineStr">
        <is>
          <t>🟢✅</t>
        </is>
      </c>
      <c r="B25" t="inlineStr">
        <is>
          <t>Qwen3 ASR (MLX)</t>
        </is>
      </c>
      <c r="C25" s="3" t="inlineStr">
        <is>
          <t>mlx-qwen3-asr</t>
        </is>
      </c>
      <c r="D25" s="3" t="inlineStr">
        <is>
          <t>MLX / mlx-audio sidecar</t>
        </is>
      </c>
      <c r="E25" s="12" t="n"/>
      <c r="F25" s="3" t="inlineStr">
        <is>
          <t>MLX Audio STT</t>
        </is>
      </c>
      <c r="G25" s="13" t="n">
        <v>0.9</v>
      </c>
      <c r="H25" s="13" t="n">
        <v>0.78</v>
      </c>
      <c r="I25" s="37" t="inlineStr">
        <is>
          <t>No</t>
        </is>
      </c>
      <c r="J25" s="36" t="inlineStr">
        <is>
          <t>No</t>
        </is>
      </c>
      <c r="K25" s="4" t="inlineStr">
        <is>
          <t>zh, en, ja, ko, mul</t>
        </is>
      </c>
      <c r="L25" s="16" t="inlineStr">
        <is>
          <t>Available (Apple Silicon)</t>
        </is>
      </c>
      <c r="M25" t="inlineStr">
        <is>
          <t>https://huggingface.co/mlx-community</t>
        </is>
      </c>
    </row>
    <row r="26">
      <c r="A26" t="inlineStr">
        <is>
          <t>🟢✅</t>
        </is>
      </c>
      <c r="B26" t="inlineStr">
        <is>
          <t>Parakeet V3 (MLX)</t>
        </is>
      </c>
      <c r="C26" s="3" t="inlineStr">
        <is>
          <t>mlx-parakeet-v3</t>
        </is>
      </c>
      <c r="D26" s="3" t="inlineStr">
        <is>
          <t>MLX / mlx-audio sidecar</t>
        </is>
      </c>
      <c r="E26" s="12" t="n"/>
      <c r="F26" s="3" t="inlineStr">
        <is>
          <t>MLX Audio STT</t>
        </is>
      </c>
      <c r="G26" s="13" t="n">
        <v>0.88</v>
      </c>
      <c r="H26" s="13" t="n">
        <v>0.82</v>
      </c>
      <c r="I26" s="37" t="inlineStr">
        <is>
          <t>No</t>
        </is>
      </c>
      <c r="J26" s="36" t="inlineStr">
        <is>
          <t>No</t>
        </is>
      </c>
      <c r="K26" s="4" t="inlineStr">
        <is>
          <t>25 European languages (bg, hr, cs, da, nl, en, et, fi, fr, de, el, hu, it, lv, lt, mt, pl, pt, ro, sk, sl, es, sv, ru, uk)</t>
        </is>
      </c>
      <c r="L26" s="16" t="inlineStr">
        <is>
          <t>Available (Apple Silicon)</t>
        </is>
      </c>
      <c r="M26" t="inlineStr">
        <is>
          <t>https://huggingface.co/mlx-community/parakeet-tdt-0.6b-v3</t>
        </is>
      </c>
    </row>
    <row r="27">
      <c r="A27" t="inlineStr">
        <is>
          <t>🟢✅</t>
        </is>
      </c>
      <c r="B27" t="inlineStr">
        <is>
          <t>Voxtral Mini 3B (MLX)</t>
        </is>
      </c>
      <c r="C27" s="3" t="inlineStr">
        <is>
          <t>mlx-voxtral-mini-3b</t>
        </is>
      </c>
      <c r="D27" s="3" t="inlineStr">
        <is>
          <t>MLX Community / BF16</t>
        </is>
      </c>
      <c r="E27" s="12" t="n"/>
      <c r="F27" s="3" t="inlineStr">
        <is>
          <t>MLX Audio STT</t>
        </is>
      </c>
      <c r="G27" s="13" t="n">
        <v>0.9</v>
      </c>
      <c r="H27" s="13" t="n">
        <v>0.7</v>
      </c>
      <c r="I27" s="37" t="inlineStr">
        <is>
          <t>No</t>
        </is>
      </c>
      <c r="J27" s="36" t="inlineStr">
        <is>
          <t>No</t>
        </is>
      </c>
      <c r="K27" s="4" t="inlineStr">
        <is>
          <t>en, fr, de, es, it, pt, nl, hi</t>
        </is>
      </c>
      <c r="L27" s="16" t="inlineStr">
        <is>
          <t>Available (Apple Silicon)</t>
        </is>
      </c>
      <c r="M27" t="inlineStr">
        <is>
          <t>https://huggingface.co/mlx-community/Voxtral-Mini-3B-2507-bf16</t>
        </is>
      </c>
    </row>
    <row r="28">
      <c r="A28" t="inlineStr">
        <is>
          <t>🟢✅</t>
        </is>
      </c>
      <c r="B28" t="inlineStr">
        <is>
          <t>Voxtral Mini 4B Realtime (MLX)</t>
        </is>
      </c>
      <c r="C28" s="3" t="inlineStr">
        <is>
          <t>mlx-voxtral-mini-4b-realtime</t>
        </is>
      </c>
      <c r="D28" s="3" t="inlineStr">
        <is>
          <t>MLX Community / 4-bit</t>
        </is>
      </c>
      <c r="E28" s="12" t="n"/>
      <c r="F28" s="3" t="inlineStr">
        <is>
          <t>MLX Audio STT</t>
        </is>
      </c>
      <c r="G28" s="13" t="n">
        <v>0.92</v>
      </c>
      <c r="H28" s="13" t="n">
        <v>0.88</v>
      </c>
      <c r="I28" s="37" t="inlineStr">
        <is>
          <t>No</t>
        </is>
      </c>
      <c r="J28" s="36" t="inlineStr">
        <is>
          <t>No</t>
        </is>
      </c>
      <c r="K28" s="4" t="inlineStr">
        <is>
          <t>ar, de, en, es, fr, hi, it, nl, pt, zh, ja, ko, ru</t>
        </is>
      </c>
      <c r="L28" s="16" t="inlineStr">
        <is>
          <t>Available (Apple Silicon)</t>
        </is>
      </c>
      <c r="M28" t="inlineStr">
        <is>
          <t>https://huggingface.co/mlx-community/Voxtral-Mini-4B-Realtime-2602-4bit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6213E"/>
    <outlinePr summaryBelow="1" summaryRight="1"/>
    <pageSetUpPr/>
  </sheetPr>
  <dimension ref="A1:L33"/>
  <sheetViews>
    <sheetView showGridLines="0" tabSelected="1" zoomScale="125" zoomScaleNormal="100" workbookViewId="0">
      <pane ySplit="2" topLeftCell="A3" activePane="bottomLeft" state="frozen"/>
      <selection pane="bottomLeft" activeCell="B3" sqref="B3"/>
    </sheetView>
  </sheetViews>
  <sheetFormatPr baseColWidth="10" defaultColWidth="8.6640625" defaultRowHeight="15" customHeight="1"/>
  <cols>
    <col width="24" customWidth="1" min="1" max="1"/>
    <col width="32" customWidth="1" min="2" max="2"/>
    <col width="26" customWidth="1" min="3" max="4"/>
    <col width="22" customWidth="1" min="5" max="5"/>
    <col width="14" customWidth="1" min="6" max="6"/>
    <col width="18" customWidth="1" min="7" max="7"/>
    <col width="24" customWidth="1" min="8" max="8"/>
    <col width="36" customWidth="1" min="9" max="9"/>
  </cols>
  <sheetData>
    <row r="1" ht="30" customHeight="1">
      <c r="A1" s="38" t="inlineStr">
        <is>
          <t>VOX JOT — Text-to-Speech (TTS) Model Registry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28" t="n"/>
    </row>
    <row r="2" ht="36" customHeight="1">
      <c r="A2" t="inlineStr">
        <is>
          <t>Works in Vox Jot</t>
        </is>
      </c>
      <c r="B2" t="inlineStr">
        <is>
          <t>Model Name</t>
        </is>
      </c>
      <c r="C2" s="1" t="inlineStr">
        <is>
          <t>Model ID</t>
        </is>
      </c>
      <c r="D2" s="1" t="inlineStr">
        <is>
          <t>Variant / Provider</t>
        </is>
      </c>
      <c r="E2" s="1" t="inlineStr">
        <is>
          <t>Backend Engine</t>
        </is>
      </c>
      <c r="F2" s="1" t="inlineStr">
        <is>
          <t>Size / Notes</t>
        </is>
      </c>
      <c r="G2" s="1" t="inlineStr">
        <is>
          <t>Voice Cloning</t>
        </is>
      </c>
      <c r="H2" s="1" t="inlineStr">
        <is>
          <t>Instruction Prompt</t>
        </is>
      </c>
      <c r="I2" s="1" t="inlineStr">
        <is>
          <t>Languages</t>
        </is>
      </c>
      <c r="J2" s="1" t="inlineStr">
        <is>
          <t>Platform Availability</t>
        </is>
      </c>
      <c r="K2" s="26" t="inlineStr">
        <is>
          <t>Online Source</t>
        </is>
      </c>
      <c r="L2" t="inlineStr">
        <is>
          <t>Eval Score (Rubric)</t>
        </is>
      </c>
    </row>
    <row r="3" ht="18" customHeight="1">
      <c r="A3" t="inlineStr">
        <is>
          <t>🟢✅</t>
        </is>
      </c>
      <c r="B3" t="inlineStr">
        <is>
          <t>Kokoro 82M v1.0</t>
        </is>
      </c>
      <c r="C3" s="3" t="inlineStr">
        <is>
          <t>kokoro-82m-v1.0</t>
        </is>
      </c>
      <c r="D3" s="3" t="inlineStr">
        <is>
          <t>82M</t>
        </is>
      </c>
      <c r="E3" s="3" t="inlineStr">
        <is>
          <t>Local Sidecar</t>
        </is>
      </c>
      <c r="F3" s="3" t="inlineStr">
        <is>
          <t>82M params – fast</t>
        </is>
      </c>
      <c r="G3" s="15" t="inlineStr">
        <is>
          <t>No</t>
        </is>
      </c>
      <c r="H3" s="15" t="inlineStr">
        <is>
          <t>No</t>
        </is>
      </c>
      <c r="I3" s="4" t="inlineStr">
        <is>
          <t>English</t>
        </is>
      </c>
      <c r="J3" s="21" t="inlineStr">
        <is>
          <t>All platforms</t>
        </is>
      </c>
      <c r="K3" t="inlineStr">
        <is>
          <t>https://huggingface.co/hexgrad/Kokoro-82M</t>
        </is>
      </c>
    </row>
    <row r="4" ht="18" customHeight="1">
      <c r="A4" t="inlineStr">
        <is>
          <t>🟡</t>
        </is>
      </c>
      <c r="B4" t="inlineStr">
        <is>
          <t>Maya1</t>
        </is>
      </c>
      <c r="C4" s="3" t="inlineStr">
        <is>
          <t>maya1</t>
        </is>
      </c>
      <c r="D4" s="3" t="inlineStr">
        <is>
          <t>Maya1</t>
        </is>
      </c>
      <c r="E4" s="3" t="inlineStr">
        <is>
          <t>Local Sidecar</t>
        </is>
      </c>
      <c r="F4" s="3" t="inlineStr">
        <is>
          <t>—</t>
        </is>
      </c>
      <c r="G4" s="15" t="inlineStr">
        <is>
          <t>No</t>
        </is>
      </c>
      <c r="H4" s="14" t="inlineStr">
        <is>
          <t>Yes</t>
        </is>
      </c>
      <c r="I4" s="4" t="inlineStr">
        <is>
          <t>English</t>
        </is>
      </c>
      <c r="J4" s="21" t="inlineStr">
        <is>
          <t>All platforms</t>
        </is>
      </c>
    </row>
    <row r="5" ht="18" customHeight="1">
      <c r="A5" t="inlineStr">
        <is>
          <t>🔴✖</t>
        </is>
      </c>
      <c r="B5" t="inlineStr">
        <is>
          <t>StyleTTS2 LibriTTS</t>
        </is>
      </c>
      <c r="C5" s="3" t="inlineStr">
        <is>
          <t>styletts2-libritts</t>
        </is>
      </c>
      <c r="D5" s="3" t="inlineStr">
        <is>
          <t>LibriTTS</t>
        </is>
      </c>
      <c r="E5" s="3" t="inlineStr">
        <is>
          <t>Local Sidecar</t>
        </is>
      </c>
      <c r="F5" s="3" t="inlineStr">
        <is>
          <t>—</t>
        </is>
      </c>
      <c r="G5" s="14" t="inlineStr">
        <is>
          <t>Yes</t>
        </is>
      </c>
      <c r="H5" s="14" t="inlineStr">
        <is>
          <t>Yes</t>
        </is>
      </c>
      <c r="I5" s="4" t="inlineStr">
        <is>
          <t>English</t>
        </is>
      </c>
      <c r="J5" s="21" t="inlineStr">
        <is>
          <t>All platforms</t>
        </is>
      </c>
      <c r="K5" t="inlineStr">
        <is>
          <t>https://github.com/yl4579/StyleTTS2</t>
        </is>
      </c>
    </row>
    <row r="6" ht="18" customHeight="1">
      <c r="A6" t="inlineStr">
        <is>
          <t>🔴✖</t>
        </is>
      </c>
      <c r="B6" t="inlineStr">
        <is>
          <t>StyleTTS2 LJSpeech</t>
        </is>
      </c>
      <c r="C6" s="6" t="inlineStr">
        <is>
          <t>styletts2-ljspeech</t>
        </is>
      </c>
      <c r="D6" s="6" t="inlineStr">
        <is>
          <t>LJSpeech</t>
        </is>
      </c>
      <c r="E6" s="6" t="inlineStr">
        <is>
          <t>Local Sidecar</t>
        </is>
      </c>
      <c r="F6" s="6" t="inlineStr">
        <is>
          <t>—</t>
        </is>
      </c>
      <c r="G6" s="14" t="inlineStr">
        <is>
          <t>Yes</t>
        </is>
      </c>
      <c r="H6" s="14" t="inlineStr">
        <is>
          <t>Yes</t>
        </is>
      </c>
      <c r="I6" s="7" t="inlineStr">
        <is>
          <t>English</t>
        </is>
      </c>
      <c r="J6" s="22" t="inlineStr">
        <is>
          <t>All platforms</t>
        </is>
      </c>
      <c r="K6" t="inlineStr">
        <is>
          <t>https://github.com/yl4579/StyleTTS2</t>
        </is>
      </c>
    </row>
    <row r="7" ht="18" customHeight="1">
      <c r="A7" t="inlineStr">
        <is>
          <t>🔴✖</t>
        </is>
      </c>
      <c r="B7" t="inlineStr">
        <is>
          <t>Fish Speech 1.5</t>
        </is>
      </c>
      <c r="C7" s="6" t="inlineStr">
        <is>
          <t>fish-speech-1.5</t>
        </is>
      </c>
      <c r="D7" s="6" t="inlineStr">
        <is>
          <t>Fish Speech</t>
        </is>
      </c>
      <c r="E7" s="6" t="inlineStr">
        <is>
          <t>Local Sidecar</t>
        </is>
      </c>
      <c r="F7" s="6" t="inlineStr">
        <is>
          <t>Multi-language capable</t>
        </is>
      </c>
      <c r="G7" s="14" t="inlineStr">
        <is>
          <t>Yes</t>
        </is>
      </c>
      <c r="H7" s="15" t="inlineStr">
        <is>
          <t>No</t>
        </is>
      </c>
      <c r="I7" s="7" t="inlineStr">
        <is>
          <t>Multilingual</t>
        </is>
      </c>
      <c r="J7" s="22" t="inlineStr">
        <is>
          <t>All platforms</t>
        </is>
      </c>
      <c r="K7" t="inlineStr">
        <is>
          <t>https://github.com/fishaudio/fish-speech</t>
        </is>
      </c>
    </row>
    <row r="8" ht="18" customHeight="1">
      <c r="A8" t="inlineStr">
        <is>
          <t>🔴✖</t>
        </is>
      </c>
      <c r="B8" t="inlineStr">
        <is>
          <t>Chatterbox</t>
        </is>
      </c>
      <c r="C8" s="6" t="inlineStr">
        <is>
          <t>chatterbox</t>
        </is>
      </c>
      <c r="D8" s="6" t="inlineStr">
        <is>
          <t>Chatterbox</t>
        </is>
      </c>
      <c r="E8" s="6" t="inlineStr">
        <is>
          <t>Local Sidecar</t>
        </is>
      </c>
      <c r="F8" s="6" t="inlineStr">
        <is>
          <t>Expressive controls</t>
        </is>
      </c>
      <c r="G8" s="14" t="inlineStr">
        <is>
          <t>Yes</t>
        </is>
      </c>
      <c r="H8" s="14" t="inlineStr">
        <is>
          <t>Yes</t>
        </is>
      </c>
      <c r="I8" s="7" t="inlineStr">
        <is>
          <t>Multilingual</t>
        </is>
      </c>
      <c r="J8" s="22" t="inlineStr">
        <is>
          <t>All platforms</t>
        </is>
      </c>
      <c r="K8" t="inlineStr">
        <is>
          <t>https://github.com/nat/chatterbox</t>
        </is>
      </c>
    </row>
    <row r="9" ht="18" customHeight="1">
      <c r="A9" t="inlineStr">
        <is>
          <t>🔴✖</t>
        </is>
      </c>
      <c r="B9" t="inlineStr">
        <is>
          <t>XTTS v2</t>
        </is>
      </c>
      <c r="C9" s="3" t="inlineStr">
        <is>
          <t>xtts-v2</t>
        </is>
      </c>
      <c r="D9" s="3" t="inlineStr">
        <is>
          <t>v2</t>
        </is>
      </c>
      <c r="E9" s="3" t="inlineStr">
        <is>
          <t>Local Sidecar</t>
        </is>
      </c>
      <c r="F9" s="3" t="inlineStr">
        <is>
          <t>Cross-lingual cloning</t>
        </is>
      </c>
      <c r="G9" s="14" t="inlineStr">
        <is>
          <t>Yes</t>
        </is>
      </c>
      <c r="H9" s="15" t="inlineStr">
        <is>
          <t>No</t>
        </is>
      </c>
      <c r="I9" s="4" t="inlineStr">
        <is>
          <t>Multilingual</t>
        </is>
      </c>
      <c r="J9" s="21" t="inlineStr">
        <is>
          <t>All platforms</t>
        </is>
      </c>
      <c r="K9" t="inlineStr">
        <is>
          <t>https://huggingface.co/coqui/XTTS-v2</t>
        </is>
      </c>
    </row>
    <row r="10" ht="18" customHeight="1">
      <c r="A10" t="inlineStr">
        <is>
          <t>🔴✖</t>
        </is>
      </c>
      <c r="B10" t="inlineStr">
        <is>
          <t>OpenVoice v2</t>
        </is>
      </c>
      <c r="C10" s="6" t="inlineStr">
        <is>
          <t>openvoice-v2</t>
        </is>
      </c>
      <c r="D10" s="6" t="inlineStr">
        <is>
          <t>v2</t>
        </is>
      </c>
      <c r="E10" s="6" t="inlineStr">
        <is>
          <t>Local Sidecar</t>
        </is>
      </c>
      <c r="F10" s="6" t="inlineStr">
        <is>
          <t>Multilingual cloning</t>
        </is>
      </c>
      <c r="G10" s="14" t="inlineStr">
        <is>
          <t>Yes</t>
        </is>
      </c>
      <c r="H10" s="15" t="inlineStr">
        <is>
          <t>No</t>
        </is>
      </c>
      <c r="I10" s="7" t="inlineStr">
        <is>
          <t>Multilingual</t>
        </is>
      </c>
      <c r="J10" s="22" t="inlineStr">
        <is>
          <t>All platforms</t>
        </is>
      </c>
      <c r="K10" t="inlineStr">
        <is>
          <t>https://github.com/myshell-ai/OpenVoice</t>
        </is>
      </c>
    </row>
    <row r="11" ht="18" customHeight="1">
      <c r="A11" t="inlineStr">
        <is>
          <t>🔴✖</t>
        </is>
      </c>
      <c r="B11" t="inlineStr">
        <is>
          <t>Magpie TTS Multilingual 357M</t>
        </is>
      </c>
      <c r="C11" s="6" t="inlineStr">
        <is>
          <t>magpie-tts-multilingual-357m</t>
        </is>
      </c>
      <c r="D11" s="6" t="inlineStr">
        <is>
          <t>357M</t>
        </is>
      </c>
      <c r="E11" s="6" t="inlineStr">
        <is>
          <t>Local Sidecar</t>
        </is>
      </c>
      <c r="F11" s="6" t="inlineStr">
        <is>
          <t>357M params</t>
        </is>
      </c>
      <c r="G11" s="15" t="inlineStr">
        <is>
          <t>No</t>
        </is>
      </c>
      <c r="H11" s="15" t="inlineStr">
        <is>
          <t>No</t>
        </is>
      </c>
      <c r="I11" s="7" t="inlineStr">
        <is>
          <t>Multilingual</t>
        </is>
      </c>
      <c r="J11" s="22" t="inlineStr">
        <is>
          <t>All platforms</t>
        </is>
      </c>
      <c r="K11" t="inlineStr">
        <is>
          <t>https://huggingface.co/Argos-Open-Technologies/magpie-tts</t>
        </is>
      </c>
    </row>
    <row r="12" ht="18" customHeight="1">
      <c r="A12" t="inlineStr">
        <is>
          <t>🔴✖</t>
        </is>
      </c>
      <c r="B12" t="inlineStr">
        <is>
          <t>MetaVoice 1B v0.1</t>
        </is>
      </c>
      <c r="C12" s="3" t="inlineStr">
        <is>
          <t>metavoice-1b-v0.1</t>
        </is>
      </c>
      <c r="D12" s="3" t="inlineStr">
        <is>
          <t>1B v0.1</t>
        </is>
      </c>
      <c r="E12" s="3" t="inlineStr">
        <is>
          <t>Local Sidecar</t>
        </is>
      </c>
      <c r="F12" s="3" t="inlineStr">
        <is>
          <t>~1B params</t>
        </is>
      </c>
      <c r="G12" s="14" t="inlineStr">
        <is>
          <t>Yes</t>
        </is>
      </c>
      <c r="H12" s="15" t="inlineStr">
        <is>
          <t>No</t>
        </is>
      </c>
      <c r="I12" s="4" t="inlineStr">
        <is>
          <t>English</t>
        </is>
      </c>
      <c r="J12" s="23" t="inlineStr">
        <is>
          <t>CUDA required (not Mac offline)</t>
        </is>
      </c>
      <c r="K12" t="inlineStr">
        <is>
          <t>https://github.com/metavoiceai/metavoice-src</t>
        </is>
      </c>
    </row>
    <row r="13" ht="18" customHeight="1">
      <c r="A13" t="inlineStr">
        <is>
          <t>🔴✖</t>
        </is>
      </c>
      <c r="B13" t="inlineStr">
        <is>
          <t>Step Audio EditX</t>
        </is>
      </c>
      <c r="C13" s="6" t="inlineStr">
        <is>
          <t>step-audio-editx</t>
        </is>
      </c>
      <c r="D13" s="6" t="inlineStr">
        <is>
          <t>EditX</t>
        </is>
      </c>
      <c r="E13" s="6" t="inlineStr">
        <is>
          <t>Local Sidecar</t>
        </is>
      </c>
      <c r="F13" s="6" t="inlineStr">
        <is>
          <t>Requires CUDA</t>
        </is>
      </c>
      <c r="G13" s="15" t="inlineStr">
        <is>
          <t>No</t>
        </is>
      </c>
      <c r="H13" s="14" t="inlineStr">
        <is>
          <t>Yes</t>
        </is>
      </c>
      <c r="I13" s="7" t="inlineStr">
        <is>
          <t>Multilingual</t>
        </is>
      </c>
      <c r="J13" s="23" t="inlineStr">
        <is>
          <t>Linux + NVIDIA CUDA only</t>
        </is>
      </c>
      <c r="K13" t="inlineStr">
        <is>
          <t>https://github.com/stepfun-ai/Step-Audio</t>
        </is>
      </c>
    </row>
    <row r="14" ht="18" customHeight="1">
      <c r="A14" t="inlineStr">
        <is>
          <t>🔴✖</t>
        </is>
      </c>
      <c r="B14" t="inlineStr">
        <is>
          <t>Zonos v0.1 Hybrid</t>
        </is>
      </c>
      <c r="C14" s="3" t="inlineStr">
        <is>
          <t>zonos-v0.1-hybrid</t>
        </is>
      </c>
      <c r="D14" s="3" t="inlineStr">
        <is>
          <t>v0.1 Hybrid</t>
        </is>
      </c>
      <c r="E14" s="3" t="inlineStr">
        <is>
          <t>Local Sidecar</t>
        </is>
      </c>
      <c r="F14" s="3" t="inlineStr">
        <is>
          <t>Requires NVIDIA GPU</t>
        </is>
      </c>
      <c r="G14" s="14" t="inlineStr">
        <is>
          <t>Yes</t>
        </is>
      </c>
      <c r="H14" s="14" t="inlineStr">
        <is>
          <t>Yes</t>
        </is>
      </c>
      <c r="I14" s="4" t="inlineStr">
        <is>
          <t>Multilingual</t>
        </is>
      </c>
      <c r="J14" s="23" t="inlineStr">
        <is>
          <t>Linux + NVIDIA GPU (not Mac)</t>
        </is>
      </c>
      <c r="K14" t="inlineStr">
        <is>
          <t>https://github.com/Zyphra/Zonos</t>
        </is>
      </c>
    </row>
    <row r="15" ht="18" customHeight="1">
      <c r="A15" t="inlineStr">
        <is>
          <t>🔴✖</t>
        </is>
      </c>
      <c r="B15" t="inlineStr">
        <is>
          <t>Zonos v0.1 Transformer</t>
        </is>
      </c>
      <c r="C15" s="6" t="inlineStr">
        <is>
          <t>zonos-v0.1-transformer</t>
        </is>
      </c>
      <c r="D15" s="6" t="inlineStr">
        <is>
          <t>v0.1 Transformer</t>
        </is>
      </c>
      <c r="E15" s="6" t="inlineStr">
        <is>
          <t>Local Sidecar</t>
        </is>
      </c>
      <c r="F15" s="6" t="inlineStr">
        <is>
          <t>Requires NVIDIA GPU</t>
        </is>
      </c>
      <c r="G15" s="14" t="inlineStr">
        <is>
          <t>Yes</t>
        </is>
      </c>
      <c r="H15" s="14" t="inlineStr">
        <is>
          <t>Yes</t>
        </is>
      </c>
      <c r="I15" s="7" t="inlineStr">
        <is>
          <t>Multilingual</t>
        </is>
      </c>
      <c r="J15" s="23" t="inlineStr">
        <is>
          <t>Linux + NVIDIA GPU (not Mac)</t>
        </is>
      </c>
      <c r="K15" t="inlineStr">
        <is>
          <t>https://github.com/Zyphra/Zonos</t>
        </is>
      </c>
    </row>
    <row r="16" ht="18" customHeight="1">
      <c r="A16" t="inlineStr">
        <is>
          <t>🔴✖</t>
        </is>
      </c>
      <c r="B16" t="inlineStr">
        <is>
          <t>VibeVoice 7B</t>
        </is>
      </c>
      <c r="C16" s="3" t="inlineStr">
        <is>
          <t>vibevoice-7b</t>
        </is>
      </c>
      <c r="D16" s="3" t="inlineStr">
        <is>
          <t>7B</t>
        </is>
      </c>
      <c r="E16" s="3" t="inlineStr">
        <is>
          <t>Local Sidecar</t>
        </is>
      </c>
      <c r="F16" s="3" t="inlineStr">
        <is>
          <t>~7B params</t>
        </is>
      </c>
      <c r="G16" s="14" t="inlineStr">
        <is>
          <t>Yes</t>
        </is>
      </c>
      <c r="H16" s="14" t="inlineStr">
        <is>
          <t>Yes</t>
        </is>
      </c>
      <c r="I16" s="4" t="inlineStr">
        <is>
          <t>Multilingual</t>
        </is>
      </c>
      <c r="J16" s="23" t="inlineStr">
        <is>
          <t>Upstream removed (not available)</t>
        </is>
      </c>
    </row>
    <row r="17" ht="18" customHeight="1">
      <c r="A17" t="inlineStr">
        <is>
          <t>🟢✅</t>
        </is>
      </c>
      <c r="B17" t="inlineStr">
        <is>
          <t>Qwen3 0.6B Base</t>
        </is>
      </c>
      <c r="C17" s="3" t="inlineStr">
        <is>
          <t>qwen3-0.6b-base</t>
        </is>
      </c>
      <c r="D17" s="3" t="inlineStr">
        <is>
          <t>0.6B Base</t>
        </is>
      </c>
      <c r="E17" s="3" t="inlineStr">
        <is>
          <t>Qwen3 Native</t>
        </is>
      </c>
      <c r="F17" s="3" t="inlineStr">
        <is>
          <t>~0.6B params</t>
        </is>
      </c>
      <c r="G17" s="15" t="inlineStr">
        <is>
          <t>No</t>
        </is>
      </c>
      <c r="H17" s="15" t="inlineStr">
        <is>
          <t>No</t>
        </is>
      </c>
      <c r="I17" s="4" t="inlineStr">
        <is>
          <t>Multilingual</t>
        </is>
      </c>
      <c r="J17" s="21" t="inlineStr">
        <is>
          <t>All platforms</t>
        </is>
      </c>
      <c r="K17" t="inlineStr">
        <is>
          <t>https://huggingface.co/Qwen</t>
        </is>
      </c>
    </row>
    <row r="18" ht="18" customHeight="1">
      <c r="A18" t="inlineStr">
        <is>
          <t>🟢✅</t>
        </is>
      </c>
      <c r="B18" t="inlineStr">
        <is>
          <t>Qwen3 0.6B CustomVoice</t>
        </is>
      </c>
      <c r="C18" s="6" t="inlineStr">
        <is>
          <t>qwen3-0.6b-customvoice</t>
        </is>
      </c>
      <c r="D18" s="6" t="inlineStr">
        <is>
          <t>0.6B CustomVoice</t>
        </is>
      </c>
      <c r="E18" s="6" t="inlineStr">
        <is>
          <t>Qwen3 Native</t>
        </is>
      </c>
      <c r="F18" s="6" t="inlineStr">
        <is>
          <t>~0.6B params</t>
        </is>
      </c>
      <c r="G18" s="14" t="inlineStr">
        <is>
          <t>Yes</t>
        </is>
      </c>
      <c r="H18" s="15" t="inlineStr">
        <is>
          <t>No</t>
        </is>
      </c>
      <c r="I18" s="7" t="inlineStr">
        <is>
          <t>Multilingual</t>
        </is>
      </c>
      <c r="J18" s="22" t="inlineStr">
        <is>
          <t>All platforms</t>
        </is>
      </c>
      <c r="K18" t="inlineStr">
        <is>
          <t>https://huggingface.co/Qwen</t>
        </is>
      </c>
    </row>
    <row r="19" ht="18" customHeight="1">
      <c r="A19" t="inlineStr">
        <is>
          <t>🟢✅</t>
        </is>
      </c>
      <c r="B19" t="inlineStr">
        <is>
          <t>Qwen3 1.7B CustomVoice</t>
        </is>
      </c>
      <c r="C19" s="3" t="inlineStr">
        <is>
          <t>qwen3-1.7b-customvoice</t>
        </is>
      </c>
      <c r="D19" s="3" t="inlineStr">
        <is>
          <t>1.7B CustomVoice</t>
        </is>
      </c>
      <c r="E19" s="3" t="inlineStr">
        <is>
          <t>Qwen3 Native</t>
        </is>
      </c>
      <c r="F19" s="3" t="inlineStr">
        <is>
          <t>~1.7B params</t>
        </is>
      </c>
      <c r="G19" s="14" t="inlineStr">
        <is>
          <t>Yes</t>
        </is>
      </c>
      <c r="H19" s="15" t="inlineStr">
        <is>
          <t>No</t>
        </is>
      </c>
      <c r="I19" s="4" t="inlineStr">
        <is>
          <t>Multilingual</t>
        </is>
      </c>
      <c r="J19" s="21" t="inlineStr">
        <is>
          <t>All platforms</t>
        </is>
      </c>
      <c r="K19" t="inlineStr">
        <is>
          <t>https://huggingface.co/Qwen</t>
        </is>
      </c>
    </row>
    <row r="20" ht="18" customHeight="1">
      <c r="A20" t="inlineStr">
        <is>
          <t>🟡</t>
        </is>
      </c>
      <c r="B20" t="inlineStr">
        <is>
          <t>Chinese + English – Melo</t>
        </is>
      </c>
      <c r="C20" s="3" t="inlineStr">
        <is>
          <t>tts-sherpa-zh-cn-melo</t>
        </is>
      </c>
      <c r="D20" s="3" t="inlineStr">
        <is>
          <t>Melo</t>
        </is>
      </c>
      <c r="E20" s="3" t="inlineStr">
        <is>
          <t>Sherpa-ONNX</t>
        </is>
      </c>
      <c r="F20" s="3" t="inlineStr">
        <is>
          <t>Lightweight pack</t>
        </is>
      </c>
      <c r="G20" s="15" t="inlineStr">
        <is>
          <t>No</t>
        </is>
      </c>
      <c r="H20" s="15" t="inlineStr">
        <is>
          <t>No</t>
        </is>
      </c>
      <c r="I20" s="4" t="inlineStr">
        <is>
          <t>Chinese, English</t>
        </is>
      </c>
      <c r="J20" s="21" t="inlineStr">
        <is>
          <t>All platforms</t>
        </is>
      </c>
      <c r="K20" t="inlineStr">
        <is>
          <t>https://github.com/k2-fsa/sherpa-onnx</t>
        </is>
      </c>
    </row>
    <row r="21" ht="18" customHeight="1">
      <c r="A21" t="inlineStr">
        <is>
          <t>🟡</t>
        </is>
      </c>
      <c r="B21" t="inlineStr">
        <is>
          <t>English (US) – Lessac</t>
        </is>
      </c>
      <c r="C21" s="6" t="inlineStr">
        <is>
          <t>tts-sherpa-en-us-lessac-medium</t>
        </is>
      </c>
      <c r="D21" s="6" t="inlineStr">
        <is>
          <t>Medium (Lessac)</t>
        </is>
      </c>
      <c r="E21" s="6" t="inlineStr">
        <is>
          <t>Sherpa-ONNX</t>
        </is>
      </c>
      <c r="F21" s="6" t="inlineStr">
        <is>
          <t>Lightweight pack</t>
        </is>
      </c>
      <c r="G21" s="15" t="inlineStr">
        <is>
          <t>No</t>
        </is>
      </c>
      <c r="H21" s="15" t="inlineStr">
        <is>
          <t>No</t>
        </is>
      </c>
      <c r="I21" s="7" t="inlineStr">
        <is>
          <t>English (US)</t>
        </is>
      </c>
      <c r="J21" s="22" t="inlineStr">
        <is>
          <t>All platforms</t>
        </is>
      </c>
      <c r="K21" t="inlineStr">
        <is>
          <t>https://github.com/k2-fsa/sherpa-onnx</t>
        </is>
      </c>
    </row>
    <row r="22" ht="18" customHeight="1">
      <c r="A22" t="inlineStr">
        <is>
          <t>🟢✅</t>
        </is>
      </c>
      <c r="B22" t="inlineStr">
        <is>
          <t>MLX Kokoro 82M</t>
        </is>
      </c>
      <c r="C22" s="6" t="inlineStr">
        <is>
          <t>mlx-kokoro-82m-bf16</t>
        </is>
      </c>
      <c r="D22" s="6" t="inlineStr">
        <is>
          <t>MLX Community / BF16</t>
        </is>
      </c>
      <c r="E22" s="6" t="inlineStr">
        <is>
          <t>MLX Audio</t>
        </is>
      </c>
      <c r="F22" s="6" t="inlineStr">
        <is>
          <t>372 MB · Tested + audible on Mac ✅</t>
        </is>
      </c>
      <c r="G22" s="15" t="inlineStr">
        <is>
          <t>No</t>
        </is>
      </c>
      <c r="H22" s="15" t="inlineStr">
        <is>
          <t>No</t>
        </is>
      </c>
      <c r="I22" s="7" t="inlineStr">
        <is>
          <t>English</t>
        </is>
      </c>
      <c r="J22" s="22" t="inlineStr">
        <is>
          <t>Apple Silicon only</t>
        </is>
      </c>
      <c r="K22" t="inlineStr">
        <is>
          <t>https://huggingface.co/mlx-community/Kokoro-82M-bf16</t>
        </is>
      </c>
    </row>
    <row r="23" ht="18" customHeight="1">
      <c r="A23" t="inlineStr">
        <is>
          <t>🟢✅</t>
        </is>
      </c>
      <c r="B23" t="inlineStr">
        <is>
          <t>MLX Chatterbox</t>
        </is>
      </c>
      <c r="C23" s="6" t="inlineStr">
        <is>
          <t>mlx-chatterbox-fp16</t>
        </is>
      </c>
      <c r="D23" s="6" t="inlineStr">
        <is>
          <t>MLX Community / FP16</t>
        </is>
      </c>
      <c r="E23" s="6" t="inlineStr">
        <is>
          <t>MLX Audio</t>
        </is>
      </c>
      <c r="F23" s="6" t="inlineStr">
        <is>
          <t>2.4 GB · Tested + audible on Mac ✅</t>
        </is>
      </c>
      <c r="G23" s="15" t="inlineStr">
        <is>
          <t>Yes</t>
        </is>
      </c>
      <c r="H23" s="15" t="inlineStr">
        <is>
          <t>Yes</t>
        </is>
      </c>
      <c r="I23" s="7" t="inlineStr">
        <is>
          <t>Multilingual</t>
        </is>
      </c>
      <c r="J23" s="22" t="inlineStr">
        <is>
          <t>Apple Silicon only</t>
        </is>
      </c>
      <c r="K23" t="inlineStr">
        <is>
          <t>https://huggingface.co/mlx-community/chatterbox-fp16</t>
        </is>
      </c>
    </row>
    <row r="24" ht="18" customHeight="1">
      <c r="A24" t="inlineStr">
        <is>
          <t>🟢✅</t>
        </is>
      </c>
      <c r="B24" t="inlineStr">
        <is>
          <t>MLX Qwen3 TTS 0.6B Base</t>
        </is>
      </c>
      <c r="C24" s="6" t="inlineStr">
        <is>
          <t>mlx-qwen3-0.6b-base-bf16</t>
        </is>
      </c>
      <c r="D24" s="6" t="inlineStr">
        <is>
          <t>MLX Community / 0.6B BF16</t>
        </is>
      </c>
      <c r="E24" s="6" t="inlineStr">
        <is>
          <t>MLX Audio</t>
        </is>
      </c>
      <c r="F24" s="6" t="inlineStr">
        <is>
          <t>2.3 GB · Tested + audible on Mac ✅</t>
        </is>
      </c>
      <c r="G24" s="15" t="inlineStr">
        <is>
          <t>No</t>
        </is>
      </c>
      <c r="H24" s="15" t="inlineStr">
        <is>
          <t>No</t>
        </is>
      </c>
      <c r="I24" s="7" t="inlineStr">
        <is>
          <t>Multilingual</t>
        </is>
      </c>
      <c r="J24" s="22" t="inlineStr">
        <is>
          <t>Apple Silicon only</t>
        </is>
      </c>
      <c r="K24" t="inlineStr">
        <is>
          <t>https://huggingface.co/mlx-community/Qwen3-TTS-12Hz-0.6B-Base-bf16</t>
        </is>
      </c>
    </row>
    <row r="25" ht="18" customHeight="1">
      <c r="A25" t="inlineStr">
        <is>
          <t>🟢✅</t>
        </is>
      </c>
      <c r="B25" t="inlineStr">
        <is>
          <t>MLX Qwen3 TTS 1.7B VoiceDesign</t>
        </is>
      </c>
      <c r="C25" s="6" t="inlineStr">
        <is>
          <t>mlx-qwen3-1.7b-voicedesign-bf16</t>
        </is>
      </c>
      <c r="D25" s="6" t="inlineStr">
        <is>
          <t>MLX Community / 1.7B BF16</t>
        </is>
      </c>
      <c r="E25" s="6" t="inlineStr">
        <is>
          <t>MLX Audio</t>
        </is>
      </c>
      <c r="F25" s="6" t="inlineStr">
        <is>
          <t>4.2 GB · Tested + audible on Mac ✅</t>
        </is>
      </c>
      <c r="G25" s="15" t="inlineStr">
        <is>
          <t>No</t>
        </is>
      </c>
      <c r="H25" s="15" t="inlineStr">
        <is>
          <t>Yes</t>
        </is>
      </c>
      <c r="I25" s="7" t="inlineStr">
        <is>
          <t>Multilingual</t>
        </is>
      </c>
      <c r="J25" s="22" t="inlineStr">
        <is>
          <t>Apple Silicon only</t>
        </is>
      </c>
      <c r="K25" t="inlineStr">
        <is>
          <t>https://huggingface.co/mlx-community/Qwen3-TTS-1.7B-VoiceDesign-bf16</t>
        </is>
      </c>
    </row>
    <row r="26" ht="18" customHeight="1">
      <c r="A26" t="inlineStr">
        <is>
          <t>🟢✅</t>
        </is>
      </c>
      <c r="B26" t="inlineStr">
        <is>
          <t>MLX Dia 1.6B</t>
        </is>
      </c>
      <c r="C26" s="6" t="inlineStr">
        <is>
          <t>mlx-dia-1.6b-fp16</t>
        </is>
      </c>
      <c r="D26" s="6" t="inlineStr">
        <is>
          <t>MLX Community / FP16</t>
        </is>
      </c>
      <c r="E26" s="6" t="inlineStr">
        <is>
          <t>MLX Audio</t>
        </is>
      </c>
      <c r="F26" s="6" t="inlineStr">
        <is>
          <t>3.0 GB · Tested + audible on Mac ✅</t>
        </is>
      </c>
      <c r="G26" s="15" t="inlineStr">
        <is>
          <t>No</t>
        </is>
      </c>
      <c r="H26" s="15" t="inlineStr">
        <is>
          <t>No</t>
        </is>
      </c>
      <c r="I26" s="7" t="inlineStr">
        <is>
          <t>English</t>
        </is>
      </c>
      <c r="J26" s="22" t="inlineStr">
        <is>
          <t>Apple Silicon only</t>
        </is>
      </c>
      <c r="K26" t="inlineStr">
        <is>
          <t>https://huggingface.co/mlx-community/Dia-1.6B-fp16</t>
        </is>
      </c>
    </row>
    <row r="27" ht="18" customHeight="1">
      <c r="A27" t="inlineStr">
        <is>
          <t>🟢✅</t>
        </is>
      </c>
      <c r="B27" t="inlineStr">
        <is>
          <t>MLX Spark TTS 0.5B</t>
        </is>
      </c>
      <c r="C27" s="6" t="inlineStr">
        <is>
          <t>mlx-spark-tts-0.5b-bf16</t>
        </is>
      </c>
      <c r="D27" s="6" t="inlineStr">
        <is>
          <t>MLX Community / BF16</t>
        </is>
      </c>
      <c r="E27" s="6" t="inlineStr">
        <is>
          <t>MLX Audio</t>
        </is>
      </c>
      <c r="F27" s="6" t="inlineStr">
        <is>
          <t>2.7 GB · Tested + audible on Mac ✅</t>
        </is>
      </c>
      <c r="G27" s="15" t="inlineStr">
        <is>
          <t>No</t>
        </is>
      </c>
      <c r="H27" s="15" t="inlineStr">
        <is>
          <t>No</t>
        </is>
      </c>
      <c r="I27" s="7" t="inlineStr">
        <is>
          <t>Multilingual</t>
        </is>
      </c>
      <c r="J27" s="22" t="inlineStr">
        <is>
          <t>Apple Silicon only</t>
        </is>
      </c>
      <c r="K27" t="inlineStr">
        <is>
          <t>https://huggingface.co/mlx-community/Spark-TTS-0.5B-bf16</t>
        </is>
      </c>
    </row>
    <row r="28" ht="18" customHeight="1">
      <c r="A28" t="inlineStr">
        <is>
          <t>🟢✅</t>
        </is>
      </c>
      <c r="B28" t="inlineStr">
        <is>
          <t>MLX CSM 1B</t>
        </is>
      </c>
      <c r="C28" s="6" t="inlineStr">
        <is>
          <t>mlx-csm-1b</t>
        </is>
      </c>
      <c r="D28" s="6" t="inlineStr">
        <is>
          <t>MLX Community / 1B</t>
        </is>
      </c>
      <c r="E28" s="6" t="inlineStr">
        <is>
          <t>MLX Audio</t>
        </is>
      </c>
      <c r="F28" s="6" t="inlineStr">
        <is>
          <t>5.8 GB · Tested + audible on Mac ✅ · Requires reference audio for current working flow</t>
        </is>
      </c>
      <c r="G28" s="15" t="inlineStr">
        <is>
          <t>Yes</t>
        </is>
      </c>
      <c r="H28" s="15" t="inlineStr">
        <is>
          <t>No</t>
        </is>
      </c>
      <c r="I28" s="7" t="inlineStr">
        <is>
          <t>English</t>
        </is>
      </c>
      <c r="J28" s="22" t="inlineStr">
        <is>
          <t>Apple Silicon only</t>
        </is>
      </c>
      <c r="K28" t="inlineStr">
        <is>
          <t>https://huggingface.co/mlx-community/CSM-1B</t>
        </is>
      </c>
    </row>
    <row r="29" ht="18" customHeight="1">
      <c r="A29" t="inlineStr">
        <is>
          <t>🟢✅</t>
        </is>
      </c>
      <c r="B29" t="inlineStr">
        <is>
          <t>MLX Ming Omni 0.5B</t>
        </is>
      </c>
      <c r="C29" s="6" t="inlineStr">
        <is>
          <t>mlx-ming-omni-tts-0.5b-4bit</t>
        </is>
      </c>
      <c r="D29" s="6" t="inlineStr">
        <is>
          <t>MLX Community / 4-bit</t>
        </is>
      </c>
      <c r="E29" s="6" t="inlineStr">
        <is>
          <t>MLX Audio</t>
        </is>
      </c>
      <c r="F29" s="6" t="inlineStr">
        <is>
          <t>837 MB · Tested + audible on Mac ✅</t>
        </is>
      </c>
      <c r="G29" s="15" t="inlineStr">
        <is>
          <t>No</t>
        </is>
      </c>
      <c r="H29" s="15" t="inlineStr">
        <is>
          <t>No</t>
        </is>
      </c>
      <c r="I29" s="7" t="inlineStr">
        <is>
          <t>Multilingual</t>
        </is>
      </c>
      <c r="J29" s="22" t="inlineStr">
        <is>
          <t>Apple Silicon only</t>
        </is>
      </c>
      <c r="K29" t="inlineStr">
        <is>
          <t>https://huggingface.co/mlx-community/Ming-omni-tts-0.5B-4bit</t>
        </is>
      </c>
    </row>
    <row r="30" ht="18" customHeight="1">
      <c r="A30" t="inlineStr">
        <is>
          <t>🟢✅</t>
        </is>
      </c>
      <c r="B30" t="inlineStr">
        <is>
          <t>MLX Voxtral TTS 4B 6-bit</t>
        </is>
      </c>
      <c r="C30" s="6" t="inlineStr">
        <is>
          <t>voxtral-4b-tts-2603-mlx-6bit</t>
        </is>
      </c>
      <c r="D30" s="6" t="inlineStr">
        <is>
          <t>Mistral AI / MLX Community / 6-bit</t>
        </is>
      </c>
      <c r="E30" s="6" t="inlineStr">
        <is>
          <t>MLX Audio</t>
        </is>
      </c>
      <c r="F30" s="6" t="inlineStr">
        <is>
          <t>3.3 GB · Tested + audible on Mac ✅ · 20 preset voices</t>
        </is>
      </c>
      <c r="G30" s="15" t="inlineStr">
        <is>
          <t>No</t>
        </is>
      </c>
      <c r="H30" s="15" t="inlineStr">
        <is>
          <t>No</t>
        </is>
      </c>
      <c r="I30" s="7" t="inlineStr">
        <is>
          <t>9 languages</t>
        </is>
      </c>
      <c r="J30" s="22" t="inlineStr">
        <is>
          <t>Apple Silicon only</t>
        </is>
      </c>
      <c r="K30" t="inlineStr">
        <is>
          <t>https://huggingface.co/mlx-community/Voxtral-TTS-4B-MLX-6bit</t>
        </is>
      </c>
    </row>
    <row r="31" ht="18" customHeight="1">
      <c r="A31" t="inlineStr">
        <is>
          <t>🟢✅</t>
        </is>
      </c>
      <c r="B31" t="inlineStr">
        <is>
          <t>HumeAI TADA 1B (MLX)</t>
        </is>
      </c>
      <c r="C31" s="6" t="inlineStr">
        <is>
          <t>mlx-tada-1b</t>
        </is>
      </c>
      <c r="D31" s="6" t="inlineStr">
        <is>
          <t>Hume AI / BF16</t>
        </is>
      </c>
      <c r="E31" s="6" t="inlineStr">
        <is>
          <t>MLX TADA</t>
        </is>
      </c>
      <c r="F31" s="6" t="inlineStr">
        <is>
          <t>4.3 GB · Tested + audible on Mac ✅ · Requires Llama 3.2 license</t>
        </is>
      </c>
      <c r="G31" s="15" t="inlineStr">
        <is>
          <t>Yes</t>
        </is>
      </c>
      <c r="H31" s="15" t="inlineStr">
        <is>
          <t>No</t>
        </is>
      </c>
      <c r="I31" s="7" t="inlineStr">
        <is>
          <t>English</t>
        </is>
      </c>
      <c r="J31" s="22" t="inlineStr">
        <is>
          <t>Apple Silicon only</t>
        </is>
      </c>
      <c r="K31" t="inlineStr">
        <is>
          <t>https://huggingface.co/HumeAI/mlx-tada-1b</t>
        </is>
      </c>
    </row>
    <row r="32">
      <c r="A32" t="inlineStr">
        <is>
          <t>🟡</t>
        </is>
      </c>
      <c r="B32" t="inlineStr">
        <is>
          <t>Liquid LFM2.5 Audio 1.5B</t>
        </is>
      </c>
      <c r="C32" s="6" t="inlineStr">
        <is>
          <t>lfm2.5-audio-1.5b-gguf</t>
        </is>
      </c>
      <c r="D32" s="6" t="inlineStr">
        <is>
          <t>GGUF · 1.5B</t>
        </is>
      </c>
      <c r="E32" s="6" t="inlineStr">
        <is>
          <t>GGUF (custom llama-liquid-audio)</t>
        </is>
      </c>
      <c r="F32" s="6" t="inlineStr">
        <is>
          <t>1.5B · Unified ASR + TTS (one checkpoint)</t>
        </is>
      </c>
      <c r="G32" s="15" t="inlineStr">
        <is>
          <t>No</t>
        </is>
      </c>
      <c r="H32" s="15" t="inlineStr">
        <is>
          <t>Yes</t>
        </is>
      </c>
      <c r="I32" s="7" t="inlineStr">
        <is>
          <t>English</t>
        </is>
      </c>
      <c r="J32" s="22" t="inlineStr">
        <is>
          <t>Apple Silicon (GGUF)</t>
        </is>
      </c>
      <c r="K32" t="inlineStr">
        <is>
          <t>https://huggingface.co/LiquidAI/LFM2.5-Audio-1.5B-GGUF</t>
        </is>
      </c>
      <c r="L32" t="inlineStr">
        <is>
          <t>43/60</t>
        </is>
      </c>
    </row>
    <row r="33">
      <c r="A33" t="inlineStr">
        <is>
          <t>🟡</t>
        </is>
      </c>
      <c r="B33" t="inlineStr">
        <is>
          <t>VibeVoice Realtime 0.5B</t>
        </is>
      </c>
      <c r="C33" s="6" t="inlineStr">
        <is>
          <t>vibevoice-realtime-0.5b</t>
        </is>
      </c>
      <c r="D33" s="6" t="inlineStr">
        <is>
          <t>Realtime · 0.5B</t>
        </is>
      </c>
      <c r="E33" s="6" t="inlineStr">
        <is>
          <t>Python Sidecar (PyTorch)</t>
        </is>
      </c>
      <c r="F33" s="6" t="inlineStr">
        <is>
          <t>0.5B · Low-latency TTS</t>
        </is>
      </c>
      <c r="G33" s="15" t="inlineStr">
        <is>
          <t>No</t>
        </is>
      </c>
      <c r="H33" s="15" t="inlineStr">
        <is>
          <t>No</t>
        </is>
      </c>
      <c r="I33" s="7" t="inlineStr">
        <is>
          <t>English</t>
        </is>
      </c>
      <c r="J33" s="22" t="inlineStr">
        <is>
          <t>Apple Silicon (MPS)</t>
        </is>
      </c>
      <c r="K33" t="inlineStr">
        <is>
          <t>https://github.com/microsoft/VibeVoice</t>
        </is>
      </c>
      <c r="L33" t="inlineStr">
        <is>
          <t>40/60</t>
        </is>
      </c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0F6460"/>
    <outlinePr summaryBelow="1" summaryRight="1"/>
    <pageSetUpPr/>
  </sheetPr>
  <dimension ref="A1:J25"/>
  <sheetViews>
    <sheetView showGridLines="0" zoomScale="156" zoomScaleNormal="100" workbookViewId="0">
      <pane ySplit="2" topLeftCell="A4" activePane="bottomLeft" state="frozen"/>
      <selection pane="bottomLeft" activeCell="A1" sqref="A1:G1"/>
    </sheetView>
  </sheetViews>
  <sheetFormatPr baseColWidth="10" defaultColWidth="8.6640625" defaultRowHeight="15" customHeight="1"/>
  <cols>
    <col width="26" customWidth="1" min="1" max="1"/>
    <col width="28" customWidth="1" min="2" max="2"/>
    <col width="18" customWidth="1" min="3" max="3"/>
    <col width="12" customWidth="1" min="4" max="4"/>
    <col width="20" customWidth="1" min="5" max="5"/>
    <col width="38" customWidth="1" min="6" max="6"/>
    <col width="14" customWidth="1" min="7" max="7"/>
  </cols>
  <sheetData>
    <row r="1" ht="30" customHeight="1">
      <c r="A1" s="38" t="inlineStr">
        <is>
          <t>VOX JOT — Large Language Model (LLM) Registry</t>
        </is>
      </c>
      <c r="B1" s="38" t="n"/>
      <c r="C1" s="38" t="n"/>
      <c r="D1" s="38" t="n"/>
      <c r="E1" s="38" t="n"/>
      <c r="F1" s="38" t="n"/>
      <c r="G1" s="38" t="n"/>
      <c r="H1" s="28" t="n"/>
    </row>
    <row r="2" ht="36" customHeight="1">
      <c r="A2" t="inlineStr">
        <is>
          <t>Works in Vox Jot</t>
        </is>
      </c>
      <c r="B2" t="inlineStr">
        <is>
          <t>Model Name</t>
        </is>
      </c>
      <c r="C2" s="1" t="inlineStr">
        <is>
          <t>Model ID (Ollama)</t>
        </is>
      </c>
      <c r="D2" s="1" t="inlineStr">
        <is>
          <t>Parameter Scale</t>
        </is>
      </c>
      <c r="E2" s="1" t="inlineStr">
        <is>
          <t>Size (GB)</t>
        </is>
      </c>
      <c r="F2" s="1" t="inlineStr">
        <is>
          <t>Backend Engine</t>
        </is>
      </c>
      <c r="G2" s="1" t="inlineStr">
        <is>
          <t>Specialty / Notes</t>
        </is>
      </c>
      <c r="H2" s="1" t="inlineStr">
        <is>
          <t>Voice Cloning</t>
        </is>
      </c>
      <c r="I2" s="26" t="inlineStr">
        <is>
          <t>Online Source</t>
        </is>
      </c>
      <c r="J2" t="inlineStr">
        <is>
          <t>Eval Score (Rubric)</t>
        </is>
      </c>
    </row>
    <row r="3" ht="18" customHeight="1">
      <c r="A3" t="inlineStr">
        <is>
          <t>🟢✅</t>
        </is>
      </c>
      <c r="B3" t="inlineStr">
        <is>
          <t>SmolLM2 135M</t>
        </is>
      </c>
      <c r="C3" s="3" t="inlineStr">
        <is>
          <t>smollm2:135m</t>
        </is>
      </c>
      <c r="D3" s="3" t="inlineStr">
        <is>
          <t>135M</t>
        </is>
      </c>
      <c r="E3" s="24" t="n">
        <v>0.2</v>
      </c>
      <c r="F3" s="3" t="inlineStr">
        <is>
          <t>Ollama (local)</t>
        </is>
      </c>
      <c r="G3" s="4" t="inlineStr">
        <is>
          <t>Tiniest footprint, ultra-fast</t>
        </is>
      </c>
      <c r="H3" s="15" t="inlineStr">
        <is>
          <t>No</t>
        </is>
      </c>
      <c r="I3" t="inlineStr">
        <is>
          <t>https://huggingface.co/HuggingFaceTB/SmolLM2-135M</t>
        </is>
      </c>
    </row>
    <row r="4" ht="18" customHeight="1">
      <c r="A4" t="inlineStr">
        <is>
          <t>🟢✅</t>
        </is>
      </c>
      <c r="B4" t="inlineStr">
        <is>
          <t>SmolLM2 360M</t>
        </is>
      </c>
      <c r="C4" s="6" t="inlineStr">
        <is>
          <t>smollm2:360m</t>
        </is>
      </c>
      <c r="D4" s="6" t="inlineStr">
        <is>
          <t>360M</t>
        </is>
      </c>
      <c r="E4" s="25" t="n">
        <v>0.4</v>
      </c>
      <c r="F4" s="6" t="inlineStr">
        <is>
          <t>Ollama (local)</t>
        </is>
      </c>
      <c r="G4" s="7" t="inlineStr">
        <is>
          <t>Tiny and fast general model</t>
        </is>
      </c>
      <c r="H4" s="15" t="inlineStr">
        <is>
          <t>No</t>
        </is>
      </c>
      <c r="I4" t="inlineStr">
        <is>
          <t>https://huggingface.co/HuggingFaceTB/SmolLM2-135M</t>
        </is>
      </c>
    </row>
    <row r="5" ht="18" customHeight="1">
      <c r="A5" t="inlineStr">
        <is>
          <t>🟢✅</t>
        </is>
      </c>
      <c r="B5" t="inlineStr">
        <is>
          <t>Dolphin 3 1B</t>
        </is>
      </c>
      <c r="C5" s="3" t="inlineStr">
        <is>
          <t>dolphin3:1b</t>
        </is>
      </c>
      <c r="D5" s="3" t="inlineStr">
        <is>
          <t>1B</t>
        </is>
      </c>
      <c r="E5" s="24" t="n">
        <v>0.8</v>
      </c>
      <c r="F5" s="3" t="inlineStr">
        <is>
          <t>Ollama (local)</t>
        </is>
      </c>
      <c r="G5" s="4" t="inlineStr">
        <is>
          <t>Tiny general purpose</t>
        </is>
      </c>
      <c r="H5" s="15" t="inlineStr">
        <is>
          <t>No</t>
        </is>
      </c>
      <c r="I5" t="inlineStr">
        <is>
          <t>https://ollama.com/library/dolphin3</t>
        </is>
      </c>
    </row>
    <row r="6" ht="18" customHeight="1">
      <c r="A6" t="inlineStr">
        <is>
          <t>🟢✅</t>
        </is>
      </c>
      <c r="B6" t="inlineStr">
        <is>
          <t>TinyLlama 1.1B</t>
        </is>
      </c>
      <c r="C6" s="6" t="inlineStr">
        <is>
          <t>tinyllama:1.1b</t>
        </is>
      </c>
      <c r="D6" s="6" t="inlineStr">
        <is>
          <t>1.1B</t>
        </is>
      </c>
      <c r="E6" s="25" t="n">
        <v>0.7</v>
      </c>
      <c r="F6" s="6" t="inlineStr">
        <is>
          <t>Ollama (local)</t>
        </is>
      </c>
      <c r="G6" s="7" t="inlineStr">
        <is>
          <t>Compact general model</t>
        </is>
      </c>
      <c r="H6" s="15" t="inlineStr">
        <is>
          <t>No</t>
        </is>
      </c>
      <c r="I6" t="inlineStr">
        <is>
          <t>https://ollama.com/library/tinyllama</t>
        </is>
      </c>
    </row>
    <row r="7" ht="18" customHeight="1">
      <c r="A7" t="inlineStr">
        <is>
          <t>🟢✅</t>
        </is>
      </c>
      <c r="B7" t="inlineStr">
        <is>
          <t>Falcon 3 1B</t>
        </is>
      </c>
      <c r="C7" s="3" t="inlineStr">
        <is>
          <t>falcon3:1b</t>
        </is>
      </c>
      <c r="D7" s="3" t="inlineStr">
        <is>
          <t>1B</t>
        </is>
      </c>
      <c r="E7" s="24" t="n">
        <v>0.7</v>
      </c>
      <c r="F7" s="3" t="inlineStr">
        <is>
          <t>Ollama (local)</t>
        </is>
      </c>
      <c r="G7" s="4" t="inlineStr">
        <is>
          <t>Compact instruction model</t>
        </is>
      </c>
      <c r="H7" s="15" t="inlineStr">
        <is>
          <t>No</t>
        </is>
      </c>
      <c r="I7" t="inlineStr">
        <is>
          <t>https://ollama.com/library/falcon3</t>
        </is>
      </c>
    </row>
    <row r="8" ht="18" customHeight="1">
      <c r="A8" t="inlineStr">
        <is>
          <t>🟡</t>
        </is>
      </c>
      <c r="B8" t="inlineStr">
        <is>
          <t>Granite 3.1 MoE 1B</t>
        </is>
      </c>
      <c r="C8" s="6" t="inlineStr">
        <is>
          <t>granite3.1-moe:1b</t>
        </is>
      </c>
      <c r="D8" s="6" t="inlineStr">
        <is>
          <t>1B MoE</t>
        </is>
      </c>
      <c r="E8" s="25" t="n">
        <v>0.9</v>
      </c>
      <c r="F8" s="6" t="inlineStr">
        <is>
          <t>Ollama (local)</t>
        </is>
      </c>
      <c r="G8" s="7" t="inlineStr">
        <is>
          <t>Low-latency mixture-of-experts</t>
        </is>
      </c>
      <c r="H8" s="15" t="inlineStr">
        <is>
          <t>No</t>
        </is>
      </c>
      <c r="I8" t="inlineStr">
        <is>
          <t>https://ollama.com/library/granite3.1-moe</t>
        </is>
      </c>
    </row>
    <row r="9" ht="18" customHeight="1">
      <c r="A9" t="inlineStr">
        <is>
          <t>🟢✅</t>
        </is>
      </c>
      <c r="B9" t="inlineStr">
        <is>
          <t>Qwen 2.5 0.5B</t>
        </is>
      </c>
      <c r="C9" s="3" t="inlineStr">
        <is>
          <t>qwen2.5:0.5b</t>
        </is>
      </c>
      <c r="D9" s="3" t="inlineStr">
        <is>
          <t>0.5B</t>
        </is>
      </c>
      <c r="E9" s="24" t="n">
        <v>0.4</v>
      </c>
      <c r="F9" s="3" t="inlineStr">
        <is>
          <t>Ollama (local)</t>
        </is>
      </c>
      <c r="G9" s="4" t="inlineStr">
        <is>
          <t>Ultra-tiny Qwen model</t>
        </is>
      </c>
      <c r="H9" s="15" t="inlineStr">
        <is>
          <t>No</t>
        </is>
      </c>
      <c r="I9" t="inlineStr">
        <is>
          <t>https://ollama.com/library/qwen2.5</t>
        </is>
      </c>
    </row>
    <row r="10" ht="18" customHeight="1">
      <c r="A10" t="inlineStr">
        <is>
          <t>🟢✅</t>
        </is>
      </c>
      <c r="B10" t="inlineStr">
        <is>
          <t>Qwen 2.5 1.5B</t>
        </is>
      </c>
      <c r="C10" s="6" t="inlineStr">
        <is>
          <t>qwen2.5:1.5b</t>
        </is>
      </c>
      <c r="D10" s="6" t="inlineStr">
        <is>
          <t>1.5B</t>
        </is>
      </c>
      <c r="E10" s="25" t="n">
        <v>1</v>
      </c>
      <c r="F10" s="6" t="inlineStr">
        <is>
          <t>Ollama (local)</t>
        </is>
      </c>
      <c r="G10" s="7" t="inlineStr">
        <is>
          <t>Strong tiny Qwen model</t>
        </is>
      </c>
      <c r="H10" s="15" t="inlineStr">
        <is>
          <t>No</t>
        </is>
      </c>
      <c r="I10" t="inlineStr">
        <is>
          <t>https://ollama.com/library/qwen2.5</t>
        </is>
      </c>
    </row>
    <row r="11" ht="18" customHeight="1">
      <c r="A11" t="inlineStr">
        <is>
          <t>🟢✅</t>
        </is>
      </c>
      <c r="B11" t="inlineStr">
        <is>
          <t>Qwen 2.5 Coder 1.5B</t>
        </is>
      </c>
      <c r="C11" s="3" t="inlineStr">
        <is>
          <t>qwen2.5-coder:1.5b</t>
        </is>
      </c>
      <c r="D11" s="3" t="inlineStr">
        <is>
          <t>1.5B</t>
        </is>
      </c>
      <c r="E11" s="24" t="n">
        <v>1</v>
      </c>
      <c r="F11" s="3" t="inlineStr">
        <is>
          <t>Ollama (local)</t>
        </is>
      </c>
      <c r="G11" s="4" t="inlineStr">
        <is>
          <t>Tiny coding specialist</t>
        </is>
      </c>
      <c r="H11" s="15" t="inlineStr">
        <is>
          <t>No</t>
        </is>
      </c>
      <c r="I11" t="inlineStr">
        <is>
          <t>https://ollama.com/library/qwen2.5-coder</t>
        </is>
      </c>
    </row>
    <row r="12" ht="18" customHeight="1">
      <c r="A12" t="inlineStr">
        <is>
          <t>🟢✅</t>
        </is>
      </c>
      <c r="B12" t="inlineStr">
        <is>
          <t>DeepSeek Coder 1.3B</t>
        </is>
      </c>
      <c r="C12" s="6" t="inlineStr">
        <is>
          <t>deepseek-coder:1.3b</t>
        </is>
      </c>
      <c r="D12" s="6" t="inlineStr">
        <is>
          <t>1.3B</t>
        </is>
      </c>
      <c r="E12" s="25" t="n">
        <v>1</v>
      </c>
      <c r="F12" s="6" t="inlineStr">
        <is>
          <t>Ollama (local)</t>
        </is>
      </c>
      <c r="G12" s="7" t="inlineStr">
        <is>
          <t>Compact code-focused</t>
        </is>
      </c>
      <c r="H12" s="15" t="inlineStr">
        <is>
          <t>No</t>
        </is>
      </c>
      <c r="I12" t="inlineStr">
        <is>
          <t>https://ollama.com/library/deepseek-coder</t>
        </is>
      </c>
    </row>
    <row r="13" ht="18" customHeight="1">
      <c r="A13" t="inlineStr">
        <is>
          <t>🟢✅</t>
        </is>
      </c>
      <c r="B13" t="inlineStr">
        <is>
          <t>Llama 3.2 1B</t>
        </is>
      </c>
      <c r="C13" s="3" t="inlineStr">
        <is>
          <t>llama3.2:1b</t>
        </is>
      </c>
      <c r="D13" s="3" t="inlineStr">
        <is>
          <t>1B</t>
        </is>
      </c>
      <c r="E13" s="24" t="n">
        <v>1.3</v>
      </c>
      <c r="F13" s="3" t="inlineStr">
        <is>
          <t>Ollama (local)</t>
        </is>
      </c>
      <c r="G13" s="4" t="inlineStr">
        <is>
          <t>Fastest, lowest RAM Meta model</t>
        </is>
      </c>
      <c r="H13" s="15" t="inlineStr">
        <is>
          <t>No</t>
        </is>
      </c>
      <c r="I13" t="inlineStr">
        <is>
          <t>https://ollama.com/library/llama3.2</t>
        </is>
      </c>
    </row>
    <row r="14" ht="18" customHeight="1">
      <c r="A14" t="inlineStr">
        <is>
          <t>🟢✅</t>
        </is>
      </c>
      <c r="B14" t="inlineStr">
        <is>
          <t>SmolLM2 1.7B</t>
        </is>
      </c>
      <c r="C14" s="6" t="inlineStr">
        <is>
          <t>smollm2:1.7b</t>
        </is>
      </c>
      <c r="D14" s="6" t="inlineStr">
        <is>
          <t>1.7B</t>
        </is>
      </c>
      <c r="E14" s="25" t="n">
        <v>1.1</v>
      </c>
      <c r="F14" s="6" t="inlineStr">
        <is>
          <t>Ollama (local)</t>
        </is>
      </c>
      <c r="G14" s="7" t="inlineStr">
        <is>
          <t>More capable tiny model</t>
        </is>
      </c>
      <c r="H14" s="15" t="inlineStr">
        <is>
          <t>No</t>
        </is>
      </c>
      <c r="I14" t="inlineStr">
        <is>
          <t>https://huggingface.co/HuggingFaceTB/SmolLM2-135M</t>
        </is>
      </c>
    </row>
    <row r="15" ht="18" customHeight="1">
      <c r="A15" t="inlineStr">
        <is>
          <t>🟢✅</t>
        </is>
      </c>
      <c r="B15" t="inlineStr">
        <is>
          <t>Gemma 3 1B</t>
        </is>
      </c>
      <c r="C15" s="3" t="inlineStr">
        <is>
          <t>gemma3:1b</t>
        </is>
      </c>
      <c r="D15" s="3" t="inlineStr">
        <is>
          <t>1B</t>
        </is>
      </c>
      <c r="E15" s="24" t="n">
        <v>1</v>
      </c>
      <c r="F15" s="3" t="inlineStr">
        <is>
          <t>Ollama (local)</t>
        </is>
      </c>
      <c r="G15" s="4" t="inlineStr">
        <is>
          <t>Very lightweight Google Gemma</t>
        </is>
      </c>
      <c r="H15" s="15" t="inlineStr">
        <is>
          <t>No</t>
        </is>
      </c>
      <c r="I15" t="inlineStr">
        <is>
          <t>https://ollama.com/library/gemma3</t>
        </is>
      </c>
    </row>
    <row r="16" ht="18" customHeight="1">
      <c r="A16" t="inlineStr">
        <is>
          <t>🟢✅</t>
        </is>
      </c>
      <c r="B16" t="inlineStr">
        <is>
          <t>Gemma 2 2B</t>
        </is>
      </c>
      <c r="C16" s="6" t="inlineStr">
        <is>
          <t>gemma2:2b</t>
        </is>
      </c>
      <c r="D16" s="6" t="inlineStr">
        <is>
          <t>2B</t>
        </is>
      </c>
      <c r="E16" s="25" t="n">
        <v>1.6</v>
      </c>
      <c r="F16" s="6" t="inlineStr">
        <is>
          <t>Ollama (local)</t>
        </is>
      </c>
      <c r="G16" s="7" t="inlineStr">
        <is>
          <t>Balanced tiny Google model</t>
        </is>
      </c>
      <c r="H16" s="15" t="inlineStr">
        <is>
          <t>No</t>
        </is>
      </c>
      <c r="I16" t="inlineStr">
        <is>
          <t>https://ollama.com/library/gemma2</t>
        </is>
      </c>
    </row>
    <row r="17" ht="18" customHeight="1">
      <c r="A17" t="inlineStr">
        <is>
          <t>🟢✅</t>
        </is>
      </c>
      <c r="B17" t="inlineStr">
        <is>
          <t>Granite 3.1 Dense 2B</t>
        </is>
      </c>
      <c r="C17" s="3" t="inlineStr">
        <is>
          <t>granite3.1-dense:2b</t>
        </is>
      </c>
      <c r="D17" s="3" t="inlineStr">
        <is>
          <t>2B</t>
        </is>
      </c>
      <c r="E17" s="24" t="n">
        <v>1.6</v>
      </c>
      <c r="F17" s="3" t="inlineStr">
        <is>
          <t>Ollama (local)</t>
        </is>
      </c>
      <c r="G17" s="4" t="inlineStr">
        <is>
          <t>Tiny enterprise-grade IBM model</t>
        </is>
      </c>
      <c r="H17" s="15" t="inlineStr">
        <is>
          <t>No</t>
        </is>
      </c>
      <c r="I17" t="inlineStr">
        <is>
          <t>https://ollama.com/library/granite3.1-dense</t>
        </is>
      </c>
    </row>
    <row r="18" ht="18" customHeight="1">
      <c r="A18" t="inlineStr">
        <is>
          <t>🟢✅</t>
        </is>
      </c>
      <c r="B18" t="inlineStr">
        <is>
          <t>CodeGemma 2B</t>
        </is>
      </c>
      <c r="C18" s="6" t="inlineStr">
        <is>
          <t>codegemma:2b</t>
        </is>
      </c>
      <c r="D18" s="6" t="inlineStr">
        <is>
          <t>2B</t>
        </is>
      </c>
      <c r="E18" s="25" t="n">
        <v>1.6</v>
      </c>
      <c r="F18" s="6" t="inlineStr">
        <is>
          <t>Ollama (local)</t>
        </is>
      </c>
      <c r="G18" s="7" t="inlineStr">
        <is>
          <t>Lightweight coding Google model</t>
        </is>
      </c>
      <c r="H18" s="15" t="inlineStr">
        <is>
          <t>No</t>
        </is>
      </c>
      <c r="I18" t="inlineStr">
        <is>
          <t>https://ollama.com/library/codegemma</t>
        </is>
      </c>
    </row>
    <row r="19" ht="18" customHeight="1">
      <c r="A19" t="inlineStr">
        <is>
          <t>🟢✅</t>
        </is>
      </c>
      <c r="B19" t="inlineStr">
        <is>
          <t>Llama 3.2 3B</t>
        </is>
      </c>
      <c r="C19" s="3" t="inlineStr">
        <is>
          <t>llama3.2:3b</t>
        </is>
      </c>
      <c r="D19" s="3" t="inlineStr">
        <is>
          <t>3B</t>
        </is>
      </c>
      <c r="E19" s="24" t="n">
        <v>2</v>
      </c>
      <c r="F19" s="3" t="inlineStr">
        <is>
          <t>Ollama (local)</t>
        </is>
      </c>
      <c r="G19" s="4" t="inlineStr">
        <is>
          <t>Better quality Meta model</t>
        </is>
      </c>
      <c r="H19" s="15" t="inlineStr">
        <is>
          <t>No</t>
        </is>
      </c>
      <c r="I19" t="inlineStr">
        <is>
          <t>https://ollama.com/library/llama3.2</t>
        </is>
      </c>
    </row>
    <row r="20" ht="18" customHeight="1">
      <c r="A20" t="inlineStr">
        <is>
          <t>🟢✅</t>
        </is>
      </c>
      <c r="B20" t="inlineStr">
        <is>
          <t>Orca Mini 3B</t>
        </is>
      </c>
      <c r="C20" s="6" t="inlineStr">
        <is>
          <t>orca-mini:3b</t>
        </is>
      </c>
      <c r="D20" s="6" t="inlineStr">
        <is>
          <t>3B</t>
        </is>
      </c>
      <c r="E20" s="25" t="n">
        <v>2</v>
      </c>
      <c r="F20" s="6" t="inlineStr">
        <is>
          <t>Ollama (local)</t>
        </is>
      </c>
      <c r="G20" s="7" t="inlineStr">
        <is>
          <t>Compact instruct model</t>
        </is>
      </c>
      <c r="H20" s="15" t="inlineStr">
        <is>
          <t>No</t>
        </is>
      </c>
      <c r="I20" t="inlineStr">
        <is>
          <t>https://ollama.com/library/orca-mini</t>
        </is>
      </c>
    </row>
    <row r="21" ht="18" customHeight="1">
      <c r="A21" t="inlineStr">
        <is>
          <t>🟢✅</t>
        </is>
      </c>
      <c r="B21" t="inlineStr">
        <is>
          <t>Stable Code 3B</t>
        </is>
      </c>
      <c r="C21" s="3" t="inlineStr">
        <is>
          <t>stable-code:3b</t>
        </is>
      </c>
      <c r="D21" s="3" t="inlineStr">
        <is>
          <t>3B</t>
        </is>
      </c>
      <c r="E21" s="24" t="n">
        <v>2.1</v>
      </c>
      <c r="F21" s="3" t="inlineStr">
        <is>
          <t>Ollama (local)</t>
        </is>
      </c>
      <c r="G21" s="4" t="inlineStr">
        <is>
          <t>Code-focused 3B model</t>
        </is>
      </c>
      <c r="H21" s="15" t="inlineStr">
        <is>
          <t>No</t>
        </is>
      </c>
      <c r="I21" t="inlineStr">
        <is>
          <t>https://ollama.com/library/stable-code</t>
        </is>
      </c>
    </row>
    <row r="22" ht="18" customHeight="1">
      <c r="A22" t="inlineStr">
        <is>
          <t>🟢✅</t>
        </is>
      </c>
      <c r="B22" t="inlineStr">
        <is>
          <t>Phi-3 Mini</t>
        </is>
      </c>
      <c r="C22" s="6" t="inlineStr">
        <is>
          <t>phi3:mini</t>
        </is>
      </c>
      <c r="D22" s="6" t="inlineStr">
        <is>
          <t>~3.8B</t>
        </is>
      </c>
      <c r="E22" s="25" t="n">
        <v>2.2</v>
      </c>
      <c r="F22" s="6" t="inlineStr">
        <is>
          <t>Ollama (local)</t>
        </is>
      </c>
      <c r="G22" s="7" t="inlineStr">
        <is>
          <t>Lightweight reasoning, Microsoft</t>
        </is>
      </c>
      <c r="H22" s="15" t="inlineStr">
        <is>
          <t>No</t>
        </is>
      </c>
      <c r="I22" t="inlineStr">
        <is>
          <t>https://ollama.com/library/phi3</t>
        </is>
      </c>
    </row>
    <row r="23" ht="18" customHeight="1">
      <c r="A23" t="inlineStr">
        <is>
          <t>🟢✅</t>
        </is>
      </c>
      <c r="B23" t="inlineStr">
        <is>
          <t>Mistral Small 3B</t>
        </is>
      </c>
      <c r="C23" s="3" t="inlineStr">
        <is>
          <t>mistral-small:3b</t>
        </is>
      </c>
      <c r="D23" s="3" t="inlineStr">
        <is>
          <t>3B</t>
        </is>
      </c>
      <c r="E23" s="24" t="n">
        <v>2.2</v>
      </c>
      <c r="F23" s="3" t="inlineStr">
        <is>
          <t>Ollama (local)</t>
        </is>
      </c>
      <c r="G23" s="4" t="inlineStr">
        <is>
          <t>Efficient Mistral small model</t>
        </is>
      </c>
      <c r="H23" s="15" t="inlineStr">
        <is>
          <t>No</t>
        </is>
      </c>
      <c r="I23" t="inlineStr">
        <is>
          <t>https://ollama.com/library/mistral-small</t>
        </is>
      </c>
    </row>
    <row r="24" ht="18" customHeight="1">
      <c r="A24" t="inlineStr">
        <is>
          <t>🟢✅</t>
        </is>
      </c>
      <c r="B24" t="inlineStr">
        <is>
          <t>Phi-4 Mini</t>
        </is>
      </c>
      <c r="C24" s="6" t="inlineStr">
        <is>
          <t>phi4-mini</t>
        </is>
      </c>
      <c r="D24" s="6" t="inlineStr">
        <is>
          <t>~3.8B</t>
        </is>
      </c>
      <c r="E24" s="25" t="n">
        <v>2.5</v>
      </c>
      <c r="F24" s="6" t="inlineStr">
        <is>
          <t>Ollama (local)</t>
        </is>
      </c>
      <c r="G24" s="7" t="inlineStr">
        <is>
          <t>Great instruction following, Microsoft</t>
        </is>
      </c>
      <c r="H24" s="15" t="inlineStr">
        <is>
          <t>No</t>
        </is>
      </c>
      <c r="I24" t="inlineStr">
        <is>
          <t>https://ollama.com/library/phi4-mini</t>
        </is>
      </c>
    </row>
    <row r="25">
      <c r="A25" t="inlineStr">
        <is>
          <t>🟡</t>
        </is>
      </c>
      <c r="B25" t="inlineStr">
        <is>
          <t>Liquid LFM2 1.2B Tool</t>
        </is>
      </c>
      <c r="C25" s="3" t="inlineStr">
        <is>
          <t>lfm2-1.2b-tool-gguf</t>
        </is>
      </c>
      <c r="D25" s="3" t="inlineStr">
        <is>
          <t>1.2B</t>
        </is>
      </c>
      <c r="E25" s="24" t="n">
        <v>0.73</v>
      </c>
      <c r="F25" s="3" t="inlineStr">
        <is>
          <t>GGUF (llama.cpp)</t>
        </is>
      </c>
      <c r="G25" s="4" t="inlineStr">
        <is>
          <t>Optimized for tool calling on edge</t>
        </is>
      </c>
      <c r="H25" s="15" t="inlineStr">
        <is>
          <t>No</t>
        </is>
      </c>
      <c r="I25" t="inlineStr">
        <is>
          <t>https://huggingface.co/LiquidAI/LFM2-1.2B-Tool-GGUF</t>
        </is>
      </c>
      <c r="J25" t="inlineStr">
        <is>
          <t>43/60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2026-03-25T12:29:00Z</dcterms:created>
  <dcterms:modified xsi:type="dcterms:W3CDTF">2026-04-28T04:51:57Z</dcterms:modified>
  <cp:lastModifiedBy>Kimani Domar James</cp:lastModifiedBy>
  <cp:revision>0</cp:revision>
</cp:coreProperties>
</file>